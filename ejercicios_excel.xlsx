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13_ncr:1_{0E01036B-716D-4F51-9C68-35E191E52D18}" xr6:coauthVersionLast="36" xr6:coauthVersionMax="47" xr10:uidLastSave="{00000000-0000-0000-0000-000000000000}"/>
  <bookViews>
    <workbookView xWindow="0" yWindow="0" windowWidth="24000" windowHeight="10110" tabRatio="724" firstSheet="4" activeTab="1" xr2:uid="{00000000-000D-0000-FFFF-FFFF00000000}"/>
  </bookViews>
  <sheets>
    <sheet name="Indice" sheetId="1" r:id="rId1"/>
    <sheet name="1_Gastos_Basico" sheetId="2" r:id="rId2"/>
    <sheet name="2_SumarSiConjunto" sheetId="3" r:id="rId3"/>
    <sheet name="3_BuscarV_BuscarX" sheetId="4" r:id="rId4"/>
    <sheet name="4_Indice_Coincidir" sheetId="5" r:id="rId5"/>
    <sheet name="5_Fechas_Texto" sheetId="6" r:id="rId6"/>
    <sheet name="6_Formato_Condicional" sheetId="7" r:id="rId7"/>
    <sheet name="7_Si_Anidado_Contar" sheetId="8" r:id="rId8"/>
    <sheet name="8_Limpieza_Datos" sheetId="9" r:id="rId9"/>
    <sheet name="9_Funciones_Financieras" sheetId="10" r:id="rId10"/>
    <sheet name="10_Validacion_Datos" sheetId="11" r:id="rId1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2" l="1"/>
  <c r="B36" i="2"/>
  <c r="B35" i="2"/>
</calcChain>
</file>

<file path=xl/sharedStrings.xml><?xml version="1.0" encoding="utf-8"?>
<sst xmlns="http://schemas.openxmlformats.org/spreadsheetml/2006/main" count="407" uniqueCount="247">
  <si>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</si>
  <si>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</si>
  <si>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</si>
  <si>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</si>
  <si>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</si>
  <si>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</si>
  <si>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</si>
  <si>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</si>
  <si>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</si>
  <si>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</si>
  <si>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</si>
  <si>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</si>
  <si>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</si>
  <si>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</si>
  <si>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</si>
  <si>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</si>
  <si>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</si>
  <si>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</si>
  <si>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</si>
  <si>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</si>
  <si>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</si>
  <si>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</si>
  <si>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</si>
  <si>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</si>
  <si>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</si>
  <si>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</si>
  <si>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</si>
  <si>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</si>
  <si>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</si>
  <si>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</si>
  <si>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</si>
  <si>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</si>
  <si>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</si>
  <si>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</si>
  <si>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</si>
  <si>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</si>
  <si>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</si>
  <si>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</si>
  <si>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</si>
  <si>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</si>
  <si>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</si>
  <si>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</si>
  <si>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</si>
  <si>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</si>
  <si>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</si>
  <si>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</si>
  <si>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</si>
  <si>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</si>
  <si>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</si>
  <si>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</si>
  <si>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</si>
  <si>
    <t>Ejercicio 2 — SI y SUMAR.SI.CONJUNTO</t>
  </si>
  <si>
    <t>Consigna: en la columna E, clasifica cada gasto como 'Alto' si supera 200.000 o 'Normal' si no, usando SI. Luego, en la tabla de abajo, suma cada categoría por mes con SUMAR.SI.CONJUNTO.</t>
  </si>
  <si>
    <t>Nivel</t>
  </si>
  <si>
    <t>Resumen por categoría</t>
  </si>
  <si>
    <t>Junio</t>
  </si>
  <si>
    <t>Julio</t>
  </si>
  <si>
    <t>Ejercicio 3 — BUSCARV y BUSCARX</t>
  </si>
  <si>
    <t>Consigna: escribe un ID en la celda amarilla B18 y, con BUSCARV, trae Nombre/Departamento/Salario en C18:E18. Repite el mismo ejercicio en B22 usando BUSCARX (equivalente en inglés: XLOOKUP).</t>
  </si>
  <si>
    <t>ID</t>
  </si>
  <si>
    <t>Nombre</t>
  </si>
  <si>
    <t>Departamento</t>
  </si>
  <si>
    <t>Salario</t>
  </si>
  <si>
    <t>Ana Torres</t>
  </si>
  <si>
    <t>Sistemas</t>
  </si>
  <si>
    <t>Luis Rodríguez</t>
  </si>
  <si>
    <t>Contabilidad</t>
  </si>
  <si>
    <t>Marta Gómez</t>
  </si>
  <si>
    <t>Ventas</t>
  </si>
  <si>
    <t>Carlos Pérez</t>
  </si>
  <si>
    <t>RRHH</t>
  </si>
  <si>
    <t>Diana Ruiz</t>
  </si>
  <si>
    <t>Operaciones</t>
  </si>
  <si>
    <t>Jorge Salas</t>
  </si>
  <si>
    <t>Paula Méndez</t>
  </si>
  <si>
    <t>Andrés Vega</t>
  </si>
  <si>
    <t>Sofía Castro</t>
  </si>
  <si>
    <t>Miguel Ángel</t>
  </si>
  <si>
    <t>Laura Ortiz</t>
  </si>
  <si>
    <t>Felipe Rey</t>
  </si>
  <si>
    <t>Con BUSCARV</t>
  </si>
  <si>
    <t>Camila Duarte</t>
  </si>
  <si>
    <t>ID a buscar</t>
  </si>
  <si>
    <t>Natalia León</t>
  </si>
  <si>
    <t>Con BUSCARX (XLOOKUP)</t>
  </si>
  <si>
    <t>Ejercicio 4 — INDICE + COINCIDIR</t>
  </si>
  <si>
    <t>Consigna: en B12 y B13 elige un producto y una región. En C15 (celda amarilla) trae la venta cruzada combinando INDICE y COINCIDIR (COINCIDIR para fila, COINCIDIR para columna).</t>
  </si>
  <si>
    <t>Producto</t>
  </si>
  <si>
    <t>Norte</t>
  </si>
  <si>
    <t>Sur</t>
  </si>
  <si>
    <t>Centro</t>
  </si>
  <si>
    <t>Oriente</t>
  </si>
  <si>
    <t>Occidente</t>
  </si>
  <si>
    <t>Laptop</t>
  </si>
  <si>
    <t>Monitor</t>
  </si>
  <si>
    <t>Teclado</t>
  </si>
  <si>
    <t>Mouse</t>
  </si>
  <si>
    <t>Impresora</t>
  </si>
  <si>
    <t>Tablet</t>
  </si>
  <si>
    <t>Producto elegido</t>
  </si>
  <si>
    <t>Región elegida</t>
  </si>
  <si>
    <t>Resultado</t>
  </si>
  <si>
    <t>Ejercicio 5 — Fechas y texto</t>
  </si>
  <si>
    <t>Consigna: en la columna D (amarilla) une nombre y apellido con CONCAT o TEXTUNIR. En la columna E, calcula la antigüedad en años con SIFECHA(fecha,HOY(),"y"). En la columna F, extrae el nombre del mes de ingreso con TEXTO(fecha,"mmmm").</t>
  </si>
  <si>
    <t>Apellido</t>
  </si>
  <si>
    <t>Fecha de ingreso</t>
  </si>
  <si>
    <t>Nombre completo</t>
  </si>
  <si>
    <t>Antigüedad (años)</t>
  </si>
  <si>
    <t>Mes de ingreso</t>
  </si>
  <si>
    <t>Valentina</t>
  </si>
  <si>
    <t>Ríos</t>
  </si>
  <si>
    <t>Santiago</t>
  </si>
  <si>
    <t>Suárez</t>
  </si>
  <si>
    <t>Isabella</t>
  </si>
  <si>
    <t>Molina</t>
  </si>
  <si>
    <t>Mateo</t>
  </si>
  <si>
    <t>Cárdenas</t>
  </si>
  <si>
    <t>Camila</t>
  </si>
  <si>
    <t>Beltrán</t>
  </si>
  <si>
    <t>Juan</t>
  </si>
  <si>
    <t>Pardo</t>
  </si>
  <si>
    <t>Daniela</t>
  </si>
  <si>
    <t>Núñez</t>
  </si>
  <si>
    <t>Nicolás</t>
  </si>
  <si>
    <t>Vargas</t>
  </si>
  <si>
    <t>Gabriela</t>
  </si>
  <si>
    <t>Cortés</t>
  </si>
  <si>
    <t>Julián</t>
  </si>
  <si>
    <t>Zapata</t>
  </si>
  <si>
    <t>Mariana</t>
  </si>
  <si>
    <t>Herrera</t>
  </si>
  <si>
    <t>Esteban</t>
  </si>
  <si>
    <t>Rojas</t>
  </si>
  <si>
    <t>Ejercicio 6 — Formato condicional</t>
  </si>
  <si>
    <t>Consigna: 1) En la columna B, resalta los valores duplicados. 2) En la columna B, resalta en rojo los valores fuera del rango 20-80. 3) En la tabla de la derecha, resalta de amarillo la FILA COMPLETA cuando Ventas &lt; Meta, usando una fórmula (=$C6&lt;$D6, aplicada a A6:D15).</t>
  </si>
  <si>
    <t>Código</t>
  </si>
  <si>
    <t>Valor</t>
  </si>
  <si>
    <t>C100</t>
  </si>
  <si>
    <t>Vendedor</t>
  </si>
  <si>
    <t>Mes</t>
  </si>
  <si>
    <t>Meta</t>
  </si>
  <si>
    <t>C101</t>
  </si>
  <si>
    <t>Ana</t>
  </si>
  <si>
    <t>Ene</t>
  </si>
  <si>
    <t>C102</t>
  </si>
  <si>
    <t>Feb</t>
  </si>
  <si>
    <t>C103</t>
  </si>
  <si>
    <t>Mar</t>
  </si>
  <si>
    <t>C104</t>
  </si>
  <si>
    <t>Luis</t>
  </si>
  <si>
    <t>C105</t>
  </si>
  <si>
    <t>C106</t>
  </si>
  <si>
    <t>C107</t>
  </si>
  <si>
    <t>Marta</t>
  </si>
  <si>
    <t>C108</t>
  </si>
  <si>
    <t>C109</t>
  </si>
  <si>
    <t>C110</t>
  </si>
  <si>
    <t>Carlos</t>
  </si>
  <si>
    <t>C111</t>
  </si>
  <si>
    <t>C112</t>
  </si>
  <si>
    <t>C113</t>
  </si>
  <si>
    <t>Diana</t>
  </si>
  <si>
    <t>C114</t>
  </si>
  <si>
    <t>C115</t>
  </si>
  <si>
    <t>C116</t>
  </si>
  <si>
    <t>C117</t>
  </si>
  <si>
    <t>Ejercicio 7 — SI anidado y CONTAR.SI</t>
  </si>
  <si>
    <t>Consigna: en la columna C (amarilla) asigna el concepto con SI anidado: 'Excelente' si Nota&gt;=90, 'Bueno' si Nota&gt;=70, 'Regular' si Nota&gt;=50, y 'Insuficiente' en el resto. Abajo, calcula el total de aprobados (Nota&gt;=50) con CONTAR.SI y el porcentaje de aprobados con REDONDEAR.</t>
  </si>
  <si>
    <t>Estudiante</t>
  </si>
  <si>
    <t>Nota</t>
  </si>
  <si>
    <t>Concepto</t>
  </si>
  <si>
    <t>Tomás</t>
  </si>
  <si>
    <t>Valeria</t>
  </si>
  <si>
    <t>Simón</t>
  </si>
  <si>
    <t>Renata</t>
  </si>
  <si>
    <t>Emilio</t>
  </si>
  <si>
    <t>Antonia</t>
  </si>
  <si>
    <t>David</t>
  </si>
  <si>
    <t>Manuela</t>
  </si>
  <si>
    <t>Samuel</t>
  </si>
  <si>
    <t>Salomé</t>
  </si>
  <si>
    <t>Martín</t>
  </si>
  <si>
    <t>Luciana</t>
  </si>
  <si>
    <t>Gabriel</t>
  </si>
  <si>
    <t>Emma</t>
  </si>
  <si>
    <t>Joaquín</t>
  </si>
  <si>
    <t>Aprobados (Nota&gt;=50)</t>
  </si>
  <si>
    <t>% de aprobados</t>
  </si>
  <si>
    <t>Ejercicio 8 — Limpieza de datos</t>
  </si>
  <si>
    <t>Consigna: en la columna B (amarilla) deja el nombre limpio (sin espacios extra, formato Nombre Propio) usando TRIM + PROPER. En la columna D, separa el código de la descripción de la columna C usando Texto en Columnas (delimitador ':') o funciones de texto.</t>
  </si>
  <si>
    <t>Nombre sucio</t>
  </si>
  <si>
    <t>Nombre limpio</t>
  </si>
  <si>
    <t>Registro sucio</t>
  </si>
  <si>
    <t xml:space="preserve">  juan PEREZ </t>
  </si>
  <si>
    <t>REF-001: Compra oficina</t>
  </si>
  <si>
    <t xml:space="preserve">MARIA lopez  </t>
  </si>
  <si>
    <t>REF-002: Pago proveedor</t>
  </si>
  <si>
    <t xml:space="preserve"> carlos gomez</t>
  </si>
  <si>
    <t>REF-003: Devolución cliente</t>
  </si>
  <si>
    <t xml:space="preserve">ANA torres  </t>
  </si>
  <si>
    <t>REF-004: Ajuste inventario</t>
  </si>
  <si>
    <t xml:space="preserve">  luis DIAZ</t>
  </si>
  <si>
    <t>REF-005: Compra insumos</t>
  </si>
  <si>
    <t xml:space="preserve">sofia   RUIZ </t>
  </si>
  <si>
    <t>REF-006: Pago servicios</t>
  </si>
  <si>
    <t xml:space="preserve"> Diego  Mora</t>
  </si>
  <si>
    <t>REF-007: Nómina parcial</t>
  </si>
  <si>
    <t xml:space="preserve">PAULA vega  </t>
  </si>
  <si>
    <t>REF-008: Reembolso viáticos</t>
  </si>
  <si>
    <t xml:space="preserve">  andres LEON</t>
  </si>
  <si>
    <t>REF-009: Compra equipo</t>
  </si>
  <si>
    <t xml:space="preserve">camila  DUARTE </t>
  </si>
  <si>
    <t>REF-010: Ajuste caja</t>
  </si>
  <si>
    <t>Ejercicio 9 — Funciones financieras y redondeo</t>
  </si>
  <si>
    <t>Parte A — Consigna: en D (amarilla) calcula el precio con descuento = Precio*(1-Descuento). En E, el IVA (19%) sobre ese valor. En F, el precio final, todo redondeado a entero con REDONDEAR.</t>
  </si>
  <si>
    <t>Precio</t>
  </si>
  <si>
    <t>Descuento</t>
  </si>
  <si>
    <t>Precio con desc.</t>
  </si>
  <si>
    <t>IVA (19%)</t>
  </si>
  <si>
    <t>Precio final</t>
  </si>
  <si>
    <t>Parte B — Cuota de un préstamo con PAGO (PMT)</t>
  </si>
  <si>
    <t>Consigna: en B16 calcula la cuota mensual con PAGO(tasa,núm_cuotas,-monto).</t>
  </si>
  <si>
    <t>Monto del préstamo</t>
  </si>
  <si>
    <t>Tasa mensual</t>
  </si>
  <si>
    <t>Número de cuotas</t>
  </si>
  <si>
    <t>Cuota mensual</t>
  </si>
  <si>
    <t>Ejercicio 10 — Listas desplegables dependientes</t>
  </si>
  <si>
    <t>Consigna: crea rangos con nombre para cada país (Fórmulas &gt; Administrador de nombres) usando las listas de la derecha. En B6 pon Validación de Datos &gt; Lista, con los países (columna F). En B7 pon otra Validación de Datos &gt; Lista que use =INDIRECT(B6) para que muestre solo las ciudades del país elegido.</t>
  </si>
  <si>
    <t>Países</t>
  </si>
  <si>
    <t>Colombia</t>
  </si>
  <si>
    <t>Mexico</t>
  </si>
  <si>
    <t>Peru</t>
  </si>
  <si>
    <t>País</t>
  </si>
  <si>
    <t>Bogota</t>
  </si>
  <si>
    <t>CDMX</t>
  </si>
  <si>
    <t>Lima</t>
  </si>
  <si>
    <t>Ciudad</t>
  </si>
  <si>
    <t>Medellin</t>
  </si>
  <si>
    <t>Guadalajara</t>
  </si>
  <si>
    <t>Arequipa</t>
  </si>
  <si>
    <t>Cali</t>
  </si>
  <si>
    <t>Monterrey</t>
  </si>
  <si>
    <t>Cusco</t>
  </si>
  <si>
    <t>Barranquilla</t>
  </si>
  <si>
    <t>Puebla</t>
  </si>
  <si>
    <t>Trujillo</t>
  </si>
  <si>
    <t>Nota: los nombres de rango no pueden llevar espacios ni tildes; usa 'Mexico' y 'Colombia' tal cual aparecen arriba.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</si>
</sst>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  <xf numFmtId="0" fontId="0" fillId="3" borderId="1" xfId="0" applyFill="1" applyBorder="1"/>
    <xf numFmtId="0" fontId="5" fillId="0" borderId="1" xfId="0" applyFont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0" fontId="0" fillId="0" borderId="1" xfId="0" applyBorder="1"/>
    <xf numFmtId="9" fontId="0" fillId="3" borderId="1" xfId="0" applyNumberFormat="1" applyFill="1" applyBorder="1"/>
    <xf numFmtId="9" fontId="4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topLeftCell="A8" zoomScaleNormal="100" workbookViewId="0">
      <selection activeCell="B38" sqref="B38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26</v>
      </c>
    </row>
    <row r="2" spans="1:4" x14ac:dyDescent="0.25">
      <c r="A2" s="2" t="s">
        <v>27</v>
      </c>
    </row>
    <row r="4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spans="1:4" x14ac:dyDescent="0.25">
      <c r="A5" s="6">
        <v>46174</v>
      </c>
      <c r="B5" s="4" t="s">
        <v>32</v>
      </c>
      <c r="C5" s="4" t="s">
        <v>33</v>
      </c>
      <c r="D5" s="7">
        <v>94088</v>
      </c>
    </row>
    <row r="6" spans="1:4" x14ac:dyDescent="0.25">
      <c r="A6" s="6">
        <v>46177</v>
      </c>
      <c r="B6" s="4" t="s">
        <v>34</v>
      </c>
      <c r="C6" s="4" t="s">
        <v>35</v>
      </c>
      <c r="D6" s="7">
        <v>356277</v>
      </c>
    </row>
    <row r="7" spans="1:4" x14ac:dyDescent="0.25">
      <c r="A7" s="6">
        <v>46180</v>
      </c>
      <c r="B7" s="4" t="s">
        <v>36</v>
      </c>
      <c r="C7" s="4" t="s">
        <v>37</v>
      </c>
      <c r="D7" s="7">
        <v>52977</v>
      </c>
    </row>
    <row r="8" spans="1:4" x14ac:dyDescent="0.25">
      <c r="A8" s="6">
        <v>46183</v>
      </c>
      <c r="B8" s="4" t="s">
        <v>32</v>
      </c>
      <c r="C8" s="4" t="s">
        <v>38</v>
      </c>
      <c r="D8" s="7">
        <v>64351</v>
      </c>
    </row>
    <row r="9" spans="1:4" x14ac:dyDescent="0.25">
      <c r="A9" s="6">
        <v>46186</v>
      </c>
      <c r="B9" s="4" t="s">
        <v>34</v>
      </c>
      <c r="C9" s="4" t="s">
        <v>39</v>
      </c>
      <c r="D9" s="7">
        <v>320548</v>
      </c>
    </row>
    <row r="10" spans="1:4" x14ac:dyDescent="0.25">
      <c r="A10" s="6">
        <v>46189</v>
      </c>
      <c r="B10" s="4" t="s">
        <v>36</v>
      </c>
      <c r="C10" s="4" t="s">
        <v>37</v>
      </c>
      <c r="D10" s="7">
        <v>281042</v>
      </c>
    </row>
    <row r="11" spans="1:4" x14ac:dyDescent="0.25">
      <c r="A11" s="6">
        <v>46192</v>
      </c>
      <c r="B11" s="4" t="s">
        <v>32</v>
      </c>
      <c r="C11" s="4" t="s">
        <v>40</v>
      </c>
      <c r="D11" s="7">
        <v>34658</v>
      </c>
    </row>
    <row r="12" spans="1:4" x14ac:dyDescent="0.25">
      <c r="A12" s="6">
        <v>46195</v>
      </c>
      <c r="B12" s="4" t="s">
        <v>34</v>
      </c>
      <c r="C12" s="4" t="s">
        <v>41</v>
      </c>
      <c r="D12" s="7">
        <v>242355</v>
      </c>
    </row>
    <row r="13" spans="1:4" x14ac:dyDescent="0.25">
      <c r="A13" s="6">
        <v>46198</v>
      </c>
      <c r="B13" s="4" t="s">
        <v>36</v>
      </c>
      <c r="C13" s="4" t="s">
        <v>42</v>
      </c>
      <c r="D13" s="7">
        <v>51624</v>
      </c>
    </row>
    <row r="14" spans="1:4" x14ac:dyDescent="0.25">
      <c r="A14" s="6">
        <v>46201</v>
      </c>
      <c r="B14" s="4" t="s">
        <v>32</v>
      </c>
      <c r="C14" s="4" t="s">
        <v>40</v>
      </c>
      <c r="D14" s="7">
        <v>62559</v>
      </c>
    </row>
    <row r="15" spans="1:4" x14ac:dyDescent="0.25">
      <c r="A15" s="6">
        <v>46204</v>
      </c>
      <c r="B15" s="4" t="s">
        <v>34</v>
      </c>
      <c r="C15" s="4" t="s">
        <v>43</v>
      </c>
      <c r="D15" s="7">
        <v>237570</v>
      </c>
    </row>
    <row r="16" spans="1:4" x14ac:dyDescent="0.25">
      <c r="A16" s="6">
        <v>46207</v>
      </c>
      <c r="B16" s="4" t="s">
        <v>36</v>
      </c>
      <c r="C16" s="4" t="s">
        <v>37</v>
      </c>
      <c r="D16" s="7">
        <v>448508</v>
      </c>
    </row>
    <row r="17" spans="1:4" x14ac:dyDescent="0.25">
      <c r="A17" s="6">
        <v>46210</v>
      </c>
      <c r="B17" s="4" t="s">
        <v>32</v>
      </c>
      <c r="C17" s="4" t="s">
        <v>38</v>
      </c>
      <c r="D17" s="7">
        <v>79907</v>
      </c>
    </row>
    <row r="18" spans="1:4" x14ac:dyDescent="0.25">
      <c r="A18" s="6">
        <v>46213</v>
      </c>
      <c r="B18" s="4" t="s">
        <v>34</v>
      </c>
      <c r="C18" s="4" t="s">
        <v>44</v>
      </c>
      <c r="D18" s="7">
        <v>345629</v>
      </c>
    </row>
    <row r="19" spans="1:4" x14ac:dyDescent="0.25">
      <c r="A19" s="6">
        <v>46216</v>
      </c>
      <c r="B19" s="4" t="s">
        <v>36</v>
      </c>
      <c r="C19" s="4" t="s">
        <v>45</v>
      </c>
      <c r="D19" s="7">
        <v>47433</v>
      </c>
    </row>
    <row r="20" spans="1:4" x14ac:dyDescent="0.25">
      <c r="A20" s="6">
        <v>46219</v>
      </c>
      <c r="B20" s="4" t="s">
        <v>32</v>
      </c>
      <c r="C20" s="4" t="s">
        <v>38</v>
      </c>
      <c r="D20" s="7">
        <v>321992</v>
      </c>
    </row>
    <row r="21" spans="1:4" x14ac:dyDescent="0.25">
      <c r="A21" s="6">
        <v>46222</v>
      </c>
      <c r="B21" s="4" t="s">
        <v>34</v>
      </c>
      <c r="C21" s="4" t="s">
        <v>35</v>
      </c>
      <c r="D21" s="7">
        <v>40999</v>
      </c>
    </row>
    <row r="22" spans="1:4" x14ac:dyDescent="0.25">
      <c r="A22" s="6">
        <v>46225</v>
      </c>
      <c r="B22" s="4" t="s">
        <v>36</v>
      </c>
      <c r="C22" s="4" t="s">
        <v>46</v>
      </c>
      <c r="D22" s="7">
        <v>39422</v>
      </c>
    </row>
    <row r="23" spans="1:4" x14ac:dyDescent="0.25">
      <c r="A23" s="6">
        <v>46228</v>
      </c>
      <c r="B23" s="4" t="s">
        <v>32</v>
      </c>
      <c r="C23" s="4" t="s">
        <v>38</v>
      </c>
      <c r="D23" s="7">
        <v>84821</v>
      </c>
    </row>
    <row r="24" spans="1:4" x14ac:dyDescent="0.25">
      <c r="A24" s="6">
        <v>46231</v>
      </c>
      <c r="B24" s="4" t="s">
        <v>34</v>
      </c>
      <c r="C24" s="4" t="s">
        <v>39</v>
      </c>
      <c r="D24" s="7">
        <v>234749</v>
      </c>
    </row>
    <row r="25" spans="1:4" x14ac:dyDescent="0.25">
      <c r="A25" s="6">
        <v>46234</v>
      </c>
      <c r="B25" s="4" t="s">
        <v>36</v>
      </c>
      <c r="C25" s="4" t="s">
        <v>46</v>
      </c>
      <c r="D25" s="7">
        <v>298475</v>
      </c>
    </row>
    <row r="26" spans="1:4" x14ac:dyDescent="0.25">
      <c r="A26" s="6">
        <v>46237</v>
      </c>
      <c r="B26" s="4" t="s">
        <v>32</v>
      </c>
      <c r="C26" s="4" t="s">
        <v>47</v>
      </c>
      <c r="D26" s="7">
        <v>314323</v>
      </c>
    </row>
    <row r="27" spans="1:4" x14ac:dyDescent="0.25">
      <c r="A27" s="6">
        <v>46240</v>
      </c>
      <c r="B27" s="4" t="s">
        <v>34</v>
      </c>
      <c r="C27" s="4" t="s">
        <v>39</v>
      </c>
      <c r="D27" s="7">
        <v>308736</v>
      </c>
    </row>
    <row r="28" spans="1:4" x14ac:dyDescent="0.25">
      <c r="A28" s="6">
        <v>46243</v>
      </c>
      <c r="B28" s="4" t="s">
        <v>36</v>
      </c>
      <c r="C28" s="4" t="s">
        <v>46</v>
      </c>
      <c r="D28" s="7">
        <v>69030</v>
      </c>
    </row>
    <row r="29" spans="1:4" x14ac:dyDescent="0.25">
      <c r="A29" s="6">
        <v>46246</v>
      </c>
      <c r="B29" s="4" t="s">
        <v>32</v>
      </c>
      <c r="C29" s="4" t="s">
        <v>38</v>
      </c>
      <c r="D29" s="7">
        <v>314475</v>
      </c>
    </row>
    <row r="30" spans="1:4" x14ac:dyDescent="0.25">
      <c r="A30" s="6">
        <v>46249</v>
      </c>
      <c r="B30" s="4" t="s">
        <v>34</v>
      </c>
      <c r="C30" s="4" t="s">
        <v>44</v>
      </c>
      <c r="D30" s="7">
        <v>210243</v>
      </c>
    </row>
    <row r="31" spans="1:4" x14ac:dyDescent="0.25">
      <c r="A31" s="6">
        <v>46252</v>
      </c>
      <c r="B31" s="4" t="s">
        <v>36</v>
      </c>
      <c r="C31" s="4" t="s">
        <v>37</v>
      </c>
      <c r="D31" s="7">
        <v>302175</v>
      </c>
    </row>
    <row r="32" spans="1:4" x14ac:dyDescent="0.25">
      <c r="A32" s="6">
        <v>46255</v>
      </c>
      <c r="B32" s="4" t="s">
        <v>32</v>
      </c>
      <c r="C32" s="4" t="s">
        <v>47</v>
      </c>
      <c r="D32" s="7">
        <v>310891</v>
      </c>
    </row>
    <row r="33" spans="1:4" x14ac:dyDescent="0.25">
      <c r="A33" s="6">
        <v>46258</v>
      </c>
      <c r="B33" s="4" t="s">
        <v>34</v>
      </c>
      <c r="C33" s="4" t="s">
        <v>41</v>
      </c>
      <c r="D33" s="7">
        <v>339539</v>
      </c>
    </row>
    <row r="34" spans="1:4" x14ac:dyDescent="0.25">
      <c r="A34" s="6">
        <v>46261</v>
      </c>
      <c r="B34" s="4" t="s">
        <v>36</v>
      </c>
      <c r="C34" s="4" t="s">
        <v>46</v>
      </c>
      <c r="D34" s="7">
        <v>275264</v>
      </c>
    </row>
    <row r="35" spans="1:4" x14ac:dyDescent="0.25">
      <c r="A35" s="5" t="s">
        <v>48</v>
      </c>
      <c r="B35" s="8">
        <f>SUM(D5:D34)</f>
        <v>6184660</v>
      </c>
    </row>
    <row r="36" spans="1:4" x14ac:dyDescent="0.25">
      <c r="A36" s="5" t="s">
        <v>49</v>
      </c>
      <c r="B36" s="8">
        <f>AVERAGE(D5:D34)</f>
        <v>206155.33333333334</v>
      </c>
    </row>
    <row r="37" spans="1:4" x14ac:dyDescent="0.25">
      <c r="A37" s="5" t="s">
        <v>50</v>
      </c>
      <c r="B37" s="8">
        <f>MAX(D5:D34)</f>
        <v>448508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zoomScaleNormal="100" workbookViewId="0"/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4" customWidth="1"/>
    <col min="5" max="6" width="16" customWidth="1"/>
  </cols>
  <sheetData>
    <row r="1" spans="1:5" ht="18" x14ac:dyDescent="0.25">
      <c r="A1" s="1" t="s">
        <v>51</v>
      </c>
    </row>
    <row r="2" spans="1:5" x14ac:dyDescent="0.25">
      <c r="A2" s="2" t="s">
        <v>52</v>
      </c>
    </row>
    <row r="4" spans="1:5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53</v>
      </c>
    </row>
    <row r="5" spans="1:5" x14ac:dyDescent="0.25">
      <c r="A5" s="6">
        <v>46174</v>
      </c>
      <c r="B5" s="4" t="s">
        <v>32</v>
      </c>
      <c r="C5" s="4" t="s">
        <v>33</v>
      </c>
      <c r="D5" s="7">
        <v>94088</v>
      </c>
      <c r="E5" s="9"/>
    </row>
    <row r="6" spans="1:5" x14ac:dyDescent="0.25">
      <c r="A6" s="6">
        <v>46177</v>
      </c>
      <c r="B6" s="4" t="s">
        <v>34</v>
      </c>
      <c r="C6" s="4" t="s">
        <v>35</v>
      </c>
      <c r="D6" s="7">
        <v>356277</v>
      </c>
      <c r="E6" s="9"/>
    </row>
    <row r="7" spans="1:5" x14ac:dyDescent="0.25">
      <c r="A7" s="6">
        <v>46180</v>
      </c>
      <c r="B7" s="4" t="s">
        <v>36</v>
      </c>
      <c r="C7" s="4" t="s">
        <v>37</v>
      </c>
      <c r="D7" s="7">
        <v>52977</v>
      </c>
      <c r="E7" s="9"/>
    </row>
    <row r="8" spans="1:5" x14ac:dyDescent="0.25">
      <c r="A8" s="6">
        <v>46183</v>
      </c>
      <c r="B8" s="4" t="s">
        <v>32</v>
      </c>
      <c r="C8" s="4" t="s">
        <v>38</v>
      </c>
      <c r="D8" s="7">
        <v>64351</v>
      </c>
      <c r="E8" s="9"/>
    </row>
    <row r="9" spans="1:5" x14ac:dyDescent="0.25">
      <c r="A9" s="6">
        <v>46186</v>
      </c>
      <c r="B9" s="4" t="s">
        <v>34</v>
      </c>
      <c r="C9" s="4" t="s">
        <v>39</v>
      </c>
      <c r="D9" s="7">
        <v>320548</v>
      </c>
      <c r="E9" s="9"/>
    </row>
    <row r="10" spans="1:5" x14ac:dyDescent="0.25">
      <c r="A10" s="6">
        <v>46189</v>
      </c>
      <c r="B10" s="4" t="s">
        <v>36</v>
      </c>
      <c r="C10" s="4" t="s">
        <v>37</v>
      </c>
      <c r="D10" s="7">
        <v>281042</v>
      </c>
      <c r="E10" s="9"/>
    </row>
    <row r="11" spans="1:5" x14ac:dyDescent="0.25">
      <c r="A11" s="6">
        <v>46192</v>
      </c>
      <c r="B11" s="4" t="s">
        <v>32</v>
      </c>
      <c r="C11" s="4" t="s">
        <v>40</v>
      </c>
      <c r="D11" s="7">
        <v>34658</v>
      </c>
      <c r="E11" s="9"/>
    </row>
    <row r="12" spans="1:5" x14ac:dyDescent="0.25">
      <c r="A12" s="6">
        <v>46195</v>
      </c>
      <c r="B12" s="4" t="s">
        <v>34</v>
      </c>
      <c r="C12" s="4" t="s">
        <v>41</v>
      </c>
      <c r="D12" s="7">
        <v>242355</v>
      </c>
      <c r="E12" s="9"/>
    </row>
    <row r="13" spans="1:5" x14ac:dyDescent="0.25">
      <c r="A13" s="6">
        <v>46198</v>
      </c>
      <c r="B13" s="4" t="s">
        <v>36</v>
      </c>
      <c r="C13" s="4" t="s">
        <v>42</v>
      </c>
      <c r="D13" s="7">
        <v>51624</v>
      </c>
      <c r="E13" s="9"/>
    </row>
    <row r="14" spans="1:5" x14ac:dyDescent="0.25">
      <c r="A14" s="6">
        <v>46201</v>
      </c>
      <c r="B14" s="4" t="s">
        <v>32</v>
      </c>
      <c r="C14" s="4" t="s">
        <v>40</v>
      </c>
      <c r="D14" s="7">
        <v>62559</v>
      </c>
      <c r="E14" s="9"/>
    </row>
    <row r="15" spans="1:5" x14ac:dyDescent="0.25">
      <c r="A15" s="6">
        <v>46204</v>
      </c>
      <c r="B15" s="4" t="s">
        <v>34</v>
      </c>
      <c r="C15" s="4" t="s">
        <v>43</v>
      </c>
      <c r="D15" s="7">
        <v>237570</v>
      </c>
      <c r="E15" s="9"/>
    </row>
    <row r="16" spans="1:5" x14ac:dyDescent="0.25">
      <c r="A16" s="6">
        <v>46207</v>
      </c>
      <c r="B16" s="4" t="s">
        <v>36</v>
      </c>
      <c r="C16" s="4" t="s">
        <v>37</v>
      </c>
      <c r="D16" s="7">
        <v>448508</v>
      </c>
      <c r="E16" s="9"/>
    </row>
    <row r="17" spans="1:5" x14ac:dyDescent="0.25">
      <c r="A17" s="6">
        <v>46210</v>
      </c>
      <c r="B17" s="4" t="s">
        <v>32</v>
      </c>
      <c r="C17" s="4" t="s">
        <v>38</v>
      </c>
      <c r="D17" s="7">
        <v>79907</v>
      </c>
      <c r="E17" s="9"/>
    </row>
    <row r="18" spans="1:5" x14ac:dyDescent="0.25">
      <c r="A18" s="6">
        <v>46213</v>
      </c>
      <c r="B18" s="4" t="s">
        <v>34</v>
      </c>
      <c r="C18" s="4" t="s">
        <v>44</v>
      </c>
      <c r="D18" s="7">
        <v>345629</v>
      </c>
      <c r="E18" s="9"/>
    </row>
    <row r="19" spans="1:5" x14ac:dyDescent="0.25">
      <c r="A19" s="6">
        <v>46216</v>
      </c>
      <c r="B19" s="4" t="s">
        <v>36</v>
      </c>
      <c r="C19" s="4" t="s">
        <v>45</v>
      </c>
      <c r="D19" s="7">
        <v>47433</v>
      </c>
      <c r="E19" s="9"/>
    </row>
    <row r="20" spans="1:5" x14ac:dyDescent="0.25">
      <c r="A20" s="6">
        <v>46219</v>
      </c>
      <c r="B20" s="4" t="s">
        <v>32</v>
      </c>
      <c r="C20" s="4" t="s">
        <v>38</v>
      </c>
      <c r="D20" s="7">
        <v>321992</v>
      </c>
      <c r="E20" s="9"/>
    </row>
    <row r="21" spans="1:5" x14ac:dyDescent="0.25">
      <c r="A21" s="6">
        <v>46222</v>
      </c>
      <c r="B21" s="4" t="s">
        <v>34</v>
      </c>
      <c r="C21" s="4" t="s">
        <v>35</v>
      </c>
      <c r="D21" s="7">
        <v>40999</v>
      </c>
      <c r="E21" s="9"/>
    </row>
    <row r="22" spans="1:5" x14ac:dyDescent="0.25">
      <c r="A22" s="6">
        <v>46225</v>
      </c>
      <c r="B22" s="4" t="s">
        <v>36</v>
      </c>
      <c r="C22" s="4" t="s">
        <v>46</v>
      </c>
      <c r="D22" s="7">
        <v>39422</v>
      </c>
      <c r="E22" s="9"/>
    </row>
    <row r="23" spans="1:5" x14ac:dyDescent="0.25">
      <c r="A23" s="6">
        <v>46228</v>
      </c>
      <c r="B23" s="4" t="s">
        <v>32</v>
      </c>
      <c r="C23" s="4" t="s">
        <v>38</v>
      </c>
      <c r="D23" s="7">
        <v>84821</v>
      </c>
      <c r="E23" s="9"/>
    </row>
    <row r="24" spans="1:5" x14ac:dyDescent="0.25">
      <c r="A24" s="6">
        <v>46231</v>
      </c>
      <c r="B24" s="4" t="s">
        <v>34</v>
      </c>
      <c r="C24" s="4" t="s">
        <v>39</v>
      </c>
      <c r="D24" s="7">
        <v>234749</v>
      </c>
      <c r="E24" s="9"/>
    </row>
    <row r="25" spans="1:5" x14ac:dyDescent="0.25">
      <c r="A25" s="6">
        <v>46234</v>
      </c>
      <c r="B25" s="4" t="s">
        <v>36</v>
      </c>
      <c r="C25" s="4" t="s">
        <v>46</v>
      </c>
      <c r="D25" s="7">
        <v>298475</v>
      </c>
      <c r="E25" s="9"/>
    </row>
    <row r="26" spans="1:5" x14ac:dyDescent="0.25">
      <c r="A26" s="6">
        <v>46237</v>
      </c>
      <c r="B26" s="4" t="s">
        <v>32</v>
      </c>
      <c r="C26" s="4" t="s">
        <v>47</v>
      </c>
      <c r="D26" s="7">
        <v>314323</v>
      </c>
      <c r="E26" s="9"/>
    </row>
    <row r="27" spans="1:5" x14ac:dyDescent="0.25">
      <c r="A27" s="6">
        <v>46240</v>
      </c>
      <c r="B27" s="4" t="s">
        <v>34</v>
      </c>
      <c r="C27" s="4" t="s">
        <v>39</v>
      </c>
      <c r="D27" s="7">
        <v>308736</v>
      </c>
      <c r="E27" s="9"/>
    </row>
    <row r="28" spans="1:5" x14ac:dyDescent="0.25">
      <c r="A28" s="6">
        <v>46243</v>
      </c>
      <c r="B28" s="4" t="s">
        <v>36</v>
      </c>
      <c r="C28" s="4" t="s">
        <v>46</v>
      </c>
      <c r="D28" s="7">
        <v>69030</v>
      </c>
      <c r="E28" s="9"/>
    </row>
    <row r="29" spans="1:5" x14ac:dyDescent="0.25">
      <c r="A29" s="6">
        <v>46246</v>
      </c>
      <c r="B29" s="4" t="s">
        <v>32</v>
      </c>
      <c r="C29" s="4" t="s">
        <v>38</v>
      </c>
      <c r="D29" s="7">
        <v>314475</v>
      </c>
      <c r="E29" s="9"/>
    </row>
    <row r="30" spans="1:5" x14ac:dyDescent="0.25">
      <c r="A30" s="6">
        <v>46249</v>
      </c>
      <c r="B30" s="4" t="s">
        <v>34</v>
      </c>
      <c r="C30" s="4" t="s">
        <v>44</v>
      </c>
      <c r="D30" s="7">
        <v>210243</v>
      </c>
      <c r="E30" s="9"/>
    </row>
    <row r="31" spans="1:5" x14ac:dyDescent="0.25">
      <c r="A31" s="6">
        <v>46252</v>
      </c>
      <c r="B31" s="4" t="s">
        <v>36</v>
      </c>
      <c r="C31" s="4" t="s">
        <v>37</v>
      </c>
      <c r="D31" s="7">
        <v>302175</v>
      </c>
      <c r="E31" s="9"/>
    </row>
    <row r="32" spans="1:5" x14ac:dyDescent="0.25">
      <c r="A32" s="6">
        <v>46255</v>
      </c>
      <c r="B32" s="4" t="s">
        <v>32</v>
      </c>
      <c r="C32" s="4" t="s">
        <v>47</v>
      </c>
      <c r="D32" s="7">
        <v>310891</v>
      </c>
      <c r="E32" s="9"/>
    </row>
    <row r="33" spans="1:5" x14ac:dyDescent="0.25">
      <c r="A33" s="6">
        <v>46258</v>
      </c>
      <c r="B33" s="4" t="s">
        <v>34</v>
      </c>
      <c r="C33" s="4" t="s">
        <v>41</v>
      </c>
      <c r="D33" s="7">
        <v>339539</v>
      </c>
      <c r="E33" s="9"/>
    </row>
    <row r="34" spans="1:5" x14ac:dyDescent="0.25">
      <c r="A34" s="6">
        <v>46261</v>
      </c>
      <c r="B34" s="4" t="s">
        <v>36</v>
      </c>
      <c r="C34" s="4" t="s">
        <v>46</v>
      </c>
      <c r="D34" s="7">
        <v>275264</v>
      </c>
      <c r="E34" s="9"/>
    </row>
    <row r="37" spans="1:5" x14ac:dyDescent="0.25">
      <c r="A37" s="5" t="s">
        <v>54</v>
      </c>
    </row>
    <row r="38" spans="1:5" x14ac:dyDescent="0.25">
      <c r="A38" s="3" t="s">
        <v>29</v>
      </c>
      <c r="B38" s="3" t="s">
        <v>55</v>
      </c>
      <c r="C38" s="3" t="s">
        <v>56</v>
      </c>
    </row>
    <row r="39" spans="1:5" x14ac:dyDescent="0.25">
      <c r="A39" s="4" t="s">
        <v>32</v>
      </c>
      <c r="B39" s="8"/>
      <c r="C39" s="8"/>
    </row>
    <row r="40" spans="1:5" x14ac:dyDescent="0.25">
      <c r="A40" s="4" t="s">
        <v>34</v>
      </c>
      <c r="B40" s="8"/>
      <c r="C40" s="8"/>
    </row>
    <row r="41" spans="1:5" x14ac:dyDescent="0.25">
      <c r="A41" s="4" t="s">
        <v>36</v>
      </c>
      <c r="B41" s="8"/>
      <c r="C4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zoomScaleNormal="100" workbookViewId="0">
      <selection activeCell="F25" sqref="F25"/>
    </sheetView>
  </sheetViews>
  <sheetFormatPr baseColWidth="10" defaultColWidth="8.7109375" defaultRowHeight="15" x14ac:dyDescent="0.25"/>
  <cols>
    <col min="1" max="2" width="16" customWidth="1"/>
    <col min="3" max="3" width="20" customWidth="1"/>
    <col min="4" max="4" width="16" customWidth="1"/>
    <col min="5" max="5" width="14" customWidth="1"/>
  </cols>
  <sheetData>
    <row r="1" spans="1:4" ht="18" x14ac:dyDescent="0.25">
      <c r="A1" s="1" t="s">
        <v>57</v>
      </c>
    </row>
    <row r="2" spans="1:4" x14ac:dyDescent="0.25">
      <c r="A2" s="2" t="s">
        <v>58</v>
      </c>
    </row>
    <row r="4" spans="1:4" x14ac:dyDescent="0.25">
      <c r="A4" s="3" t="s">
        <v>59</v>
      </c>
      <c r="B4" s="3" t="s">
        <v>60</v>
      </c>
      <c r="C4" s="3" t="s">
        <v>61</v>
      </c>
      <c r="D4" s="3" t="s">
        <v>62</v>
      </c>
    </row>
    <row r="5" spans="1:4" x14ac:dyDescent="0.25">
      <c r="A5" s="4">
        <v>1000</v>
      </c>
      <c r="B5" s="4" t="s">
        <v>63</v>
      </c>
      <c r="C5" s="4" t="s">
        <v>64</v>
      </c>
      <c r="D5" s="7">
        <v>6660392</v>
      </c>
    </row>
    <row r="6" spans="1:4" x14ac:dyDescent="0.25">
      <c r="A6" s="4">
        <v>1001</v>
      </c>
      <c r="B6" s="4" t="s">
        <v>65</v>
      </c>
      <c r="C6" s="4" t="s">
        <v>66</v>
      </c>
      <c r="D6" s="7">
        <v>5786904</v>
      </c>
    </row>
    <row r="7" spans="1:4" x14ac:dyDescent="0.25">
      <c r="A7" s="4">
        <v>1002</v>
      </c>
      <c r="B7" s="4" t="s">
        <v>67</v>
      </c>
      <c r="C7" s="4" t="s">
        <v>68</v>
      </c>
      <c r="D7" s="7">
        <v>4835257</v>
      </c>
    </row>
    <row r="8" spans="1:4" x14ac:dyDescent="0.25">
      <c r="A8" s="4">
        <v>1003</v>
      </c>
      <c r="B8" s="4" t="s">
        <v>69</v>
      </c>
      <c r="C8" s="4" t="s">
        <v>70</v>
      </c>
      <c r="D8" s="7">
        <v>6105751</v>
      </c>
    </row>
    <row r="9" spans="1:4" x14ac:dyDescent="0.25">
      <c r="A9" s="4">
        <v>1004</v>
      </c>
      <c r="B9" s="4" t="s">
        <v>71</v>
      </c>
      <c r="C9" s="4" t="s">
        <v>72</v>
      </c>
      <c r="D9" s="7">
        <v>6001586</v>
      </c>
    </row>
    <row r="10" spans="1:4" x14ac:dyDescent="0.25">
      <c r="A10" s="4">
        <v>1005</v>
      </c>
      <c r="B10" s="4" t="s">
        <v>73</v>
      </c>
      <c r="C10" s="4" t="s">
        <v>64</v>
      </c>
      <c r="D10" s="7">
        <v>5233172</v>
      </c>
    </row>
    <row r="11" spans="1:4" x14ac:dyDescent="0.25">
      <c r="A11" s="4">
        <v>1006</v>
      </c>
      <c r="B11" s="4" t="s">
        <v>74</v>
      </c>
      <c r="C11" s="4" t="s">
        <v>66</v>
      </c>
      <c r="D11" s="7">
        <v>4714627</v>
      </c>
    </row>
    <row r="12" spans="1:4" x14ac:dyDescent="0.25">
      <c r="A12" s="4">
        <v>1007</v>
      </c>
      <c r="B12" s="4" t="s">
        <v>75</v>
      </c>
      <c r="C12" s="4" t="s">
        <v>68</v>
      </c>
      <c r="D12" s="7">
        <v>4283953</v>
      </c>
    </row>
    <row r="13" spans="1:4" x14ac:dyDescent="0.25">
      <c r="A13" s="4">
        <v>1008</v>
      </c>
      <c r="B13" s="4" t="s">
        <v>76</v>
      </c>
      <c r="C13" s="4" t="s">
        <v>70</v>
      </c>
      <c r="D13" s="7">
        <v>3707992</v>
      </c>
    </row>
    <row r="14" spans="1:4" x14ac:dyDescent="0.25">
      <c r="A14" s="4">
        <v>1009</v>
      </c>
      <c r="B14" s="4" t="s">
        <v>77</v>
      </c>
      <c r="C14" s="4" t="s">
        <v>72</v>
      </c>
      <c r="D14" s="7">
        <v>4247629</v>
      </c>
    </row>
    <row r="15" spans="1:4" x14ac:dyDescent="0.25">
      <c r="A15" s="4">
        <v>1010</v>
      </c>
      <c r="B15" s="4" t="s">
        <v>78</v>
      </c>
      <c r="C15" s="4" t="s">
        <v>64</v>
      </c>
      <c r="D15" s="7">
        <v>2886649</v>
      </c>
    </row>
    <row r="16" spans="1:4" x14ac:dyDescent="0.25">
      <c r="A16" s="4">
        <v>1011</v>
      </c>
      <c r="B16" s="4" t="s">
        <v>79</v>
      </c>
      <c r="C16" s="4" t="s">
        <v>66</v>
      </c>
      <c r="D16" s="7">
        <v>4718672</v>
      </c>
    </row>
    <row r="17" spans="1:5" x14ac:dyDescent="0.25">
      <c r="A17" s="10" t="s">
        <v>80</v>
      </c>
      <c r="B17" s="4" t="s">
        <v>81</v>
      </c>
      <c r="C17" s="4" t="s">
        <v>68</v>
      </c>
      <c r="D17" s="7">
        <v>6605667</v>
      </c>
    </row>
    <row r="18" spans="1:5" x14ac:dyDescent="0.25">
      <c r="A18" s="4" t="s">
        <v>82</v>
      </c>
      <c r="B18" s="11">
        <v>1005</v>
      </c>
      <c r="C18" s="11" t="s">
        <v>70</v>
      </c>
      <c r="D18" s="12">
        <v>6353337</v>
      </c>
      <c r="E18" s="9"/>
    </row>
    <row r="19" spans="1:5" x14ac:dyDescent="0.25">
      <c r="A19" s="4">
        <v>1014</v>
      </c>
      <c r="B19" s="4" t="s">
        <v>83</v>
      </c>
      <c r="C19" s="4" t="s">
        <v>72</v>
      </c>
      <c r="D19" s="7">
        <v>5081282</v>
      </c>
    </row>
    <row r="21" spans="1:5" x14ac:dyDescent="0.25">
      <c r="A21" s="5" t="s">
        <v>84</v>
      </c>
    </row>
    <row r="22" spans="1:5" x14ac:dyDescent="0.25">
      <c r="A22" t="s">
        <v>82</v>
      </c>
      <c r="B22" s="9">
        <v>1011</v>
      </c>
      <c r="C22" s="9"/>
      <c r="D22" s="9"/>
      <c r="E22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activeCell="F17" sqref="F17"/>
    </sheetView>
  </sheetViews>
  <sheetFormatPr baseColWidth="10" defaultColWidth="8.7109375" defaultRowHeight="15" x14ac:dyDescent="0.25"/>
  <cols>
    <col min="1" max="1" width="16" customWidth="1"/>
    <col min="2" max="6" width="12" customWidth="1"/>
  </cols>
  <sheetData>
    <row r="1" spans="1:6" ht="18" x14ac:dyDescent="0.25">
      <c r="A1" s="1" t="s">
        <v>85</v>
      </c>
    </row>
    <row r="2" spans="1:6" x14ac:dyDescent="0.25">
      <c r="A2" s="2" t="s">
        <v>86</v>
      </c>
    </row>
    <row r="4" spans="1:6" x14ac:dyDescent="0.25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</row>
    <row r="5" spans="1:6" x14ac:dyDescent="0.25">
      <c r="A5" s="10" t="s">
        <v>93</v>
      </c>
      <c r="B5" s="4">
        <v>49</v>
      </c>
      <c r="C5" s="4">
        <v>31</v>
      </c>
      <c r="D5" s="4">
        <v>21</v>
      </c>
      <c r="E5" s="4">
        <v>41</v>
      </c>
      <c r="F5" s="4">
        <v>7</v>
      </c>
    </row>
    <row r="6" spans="1:6" x14ac:dyDescent="0.25">
      <c r="A6" s="10" t="s">
        <v>94</v>
      </c>
      <c r="B6" s="4">
        <v>10</v>
      </c>
      <c r="C6" s="4">
        <v>35</v>
      </c>
      <c r="D6" s="4">
        <v>29</v>
      </c>
      <c r="E6" s="4">
        <v>13</v>
      </c>
      <c r="F6" s="4">
        <v>51</v>
      </c>
    </row>
    <row r="7" spans="1:6" x14ac:dyDescent="0.25">
      <c r="A7" s="10" t="s">
        <v>95</v>
      </c>
      <c r="B7" s="4">
        <v>24</v>
      </c>
      <c r="C7" s="4">
        <v>12</v>
      </c>
      <c r="D7" s="4">
        <v>34</v>
      </c>
      <c r="E7" s="4">
        <v>29</v>
      </c>
      <c r="F7" s="4">
        <v>5</v>
      </c>
    </row>
    <row r="8" spans="1:6" x14ac:dyDescent="0.25">
      <c r="A8" s="10" t="s">
        <v>96</v>
      </c>
      <c r="B8" s="4">
        <v>45</v>
      </c>
      <c r="C8" s="4">
        <v>7</v>
      </c>
      <c r="D8" s="4">
        <v>51</v>
      </c>
      <c r="E8" s="4">
        <v>38</v>
      </c>
      <c r="F8" s="4">
        <v>39</v>
      </c>
    </row>
    <row r="9" spans="1:6" x14ac:dyDescent="0.25">
      <c r="A9" s="10" t="s">
        <v>97</v>
      </c>
      <c r="B9" s="4">
        <v>53</v>
      </c>
      <c r="C9" s="4">
        <v>59</v>
      </c>
      <c r="D9" s="4">
        <v>55</v>
      </c>
      <c r="E9" s="4">
        <v>23</v>
      </c>
      <c r="F9" s="4">
        <v>24</v>
      </c>
    </row>
    <row r="10" spans="1:6" x14ac:dyDescent="0.25">
      <c r="A10" s="10" t="s">
        <v>98</v>
      </c>
      <c r="B10" s="4">
        <v>47</v>
      </c>
      <c r="C10" s="4">
        <v>25</v>
      </c>
      <c r="D10" s="4">
        <v>41</v>
      </c>
      <c r="E10" s="4">
        <v>34</v>
      </c>
      <c r="F10" s="4">
        <v>40</v>
      </c>
    </row>
    <row r="12" spans="1:6" x14ac:dyDescent="0.25">
      <c r="A12" t="s">
        <v>99</v>
      </c>
      <c r="B12" s="9" t="s">
        <v>94</v>
      </c>
    </row>
    <row r="13" spans="1:6" x14ac:dyDescent="0.25">
      <c r="A13" t="s">
        <v>100</v>
      </c>
      <c r="B13" s="9" t="s">
        <v>91</v>
      </c>
    </row>
    <row r="15" spans="1:6" x14ac:dyDescent="0.25">
      <c r="A15" s="5" t="s">
        <v>101</v>
      </c>
      <c r="C1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Normal="100" workbookViewId="0"/>
  </sheetViews>
  <sheetFormatPr baseColWidth="10" defaultColWidth="8.7109375" defaultRowHeight="15" x14ac:dyDescent="0.25"/>
  <cols>
    <col min="1" max="2" width="12" customWidth="1"/>
    <col min="3" max="3" width="16" customWidth="1"/>
    <col min="4" max="4" width="22" customWidth="1"/>
    <col min="5" max="5" width="18" customWidth="1"/>
    <col min="6" max="6" width="16" customWidth="1"/>
  </cols>
  <sheetData>
    <row r="1" spans="1:6" ht="18" x14ac:dyDescent="0.25">
      <c r="A1" s="1" t="s">
        <v>102</v>
      </c>
    </row>
    <row r="2" spans="1:6" x14ac:dyDescent="0.25">
      <c r="A2" s="2" t="s">
        <v>103</v>
      </c>
    </row>
    <row r="4" spans="1:6" x14ac:dyDescent="0.25">
      <c r="A4" s="3" t="s">
        <v>60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</row>
    <row r="5" spans="1:6" x14ac:dyDescent="0.25">
      <c r="A5" s="4" t="s">
        <v>109</v>
      </c>
      <c r="B5" s="4" t="s">
        <v>110</v>
      </c>
      <c r="C5" s="6">
        <v>42347</v>
      </c>
      <c r="D5" s="9"/>
      <c r="E5" s="9"/>
      <c r="F5" s="9"/>
    </row>
    <row r="6" spans="1:6" x14ac:dyDescent="0.25">
      <c r="A6" s="4" t="s">
        <v>111</v>
      </c>
      <c r="B6" s="4" t="s">
        <v>112</v>
      </c>
      <c r="C6" s="6">
        <v>45521</v>
      </c>
      <c r="D6" s="9"/>
      <c r="E6" s="9"/>
      <c r="F6" s="9"/>
    </row>
    <row r="7" spans="1:6" x14ac:dyDescent="0.25">
      <c r="A7" s="4" t="s">
        <v>113</v>
      </c>
      <c r="B7" s="4" t="s">
        <v>114</v>
      </c>
      <c r="C7" s="6">
        <v>45318</v>
      </c>
      <c r="D7" s="9"/>
      <c r="E7" s="9"/>
      <c r="F7" s="9"/>
    </row>
    <row r="8" spans="1:6" x14ac:dyDescent="0.25">
      <c r="A8" s="4" t="s">
        <v>115</v>
      </c>
      <c r="B8" s="4" t="s">
        <v>116</v>
      </c>
      <c r="C8" s="6">
        <v>43873</v>
      </c>
      <c r="D8" s="9"/>
      <c r="E8" s="9"/>
      <c r="F8" s="9"/>
    </row>
    <row r="9" spans="1:6" x14ac:dyDescent="0.25">
      <c r="A9" s="4" t="s">
        <v>117</v>
      </c>
      <c r="B9" s="4" t="s">
        <v>118</v>
      </c>
      <c r="C9" s="6">
        <v>42201</v>
      </c>
      <c r="D9" s="9"/>
      <c r="E9" s="9"/>
      <c r="F9" s="9"/>
    </row>
    <row r="10" spans="1:6" x14ac:dyDescent="0.25">
      <c r="A10" s="4" t="s">
        <v>119</v>
      </c>
      <c r="B10" s="4" t="s">
        <v>120</v>
      </c>
      <c r="C10" s="6">
        <v>45552</v>
      </c>
      <c r="D10" s="9"/>
      <c r="E10" s="9"/>
      <c r="F10" s="9"/>
    </row>
    <row r="11" spans="1:6" x14ac:dyDescent="0.25">
      <c r="A11" s="4" t="s">
        <v>121</v>
      </c>
      <c r="B11" s="4" t="s">
        <v>122</v>
      </c>
      <c r="C11" s="6">
        <v>45587</v>
      </c>
      <c r="D11" s="9"/>
      <c r="E11" s="9"/>
      <c r="F11" s="9"/>
    </row>
    <row r="12" spans="1:6" x14ac:dyDescent="0.25">
      <c r="A12" s="4" t="s">
        <v>123</v>
      </c>
      <c r="B12" s="4" t="s">
        <v>124</v>
      </c>
      <c r="C12" s="6">
        <v>43548</v>
      </c>
      <c r="D12" s="9"/>
      <c r="E12" s="9"/>
      <c r="F12" s="9"/>
    </row>
    <row r="13" spans="1:6" x14ac:dyDescent="0.25">
      <c r="A13" s="4" t="s">
        <v>125</v>
      </c>
      <c r="B13" s="4" t="s">
        <v>126</v>
      </c>
      <c r="C13" s="6">
        <v>42434</v>
      </c>
      <c r="D13" s="9"/>
      <c r="E13" s="9"/>
      <c r="F13" s="9"/>
    </row>
    <row r="14" spans="1:6" x14ac:dyDescent="0.25">
      <c r="A14" s="4" t="s">
        <v>127</v>
      </c>
      <c r="B14" s="4" t="s">
        <v>128</v>
      </c>
      <c r="C14" s="6">
        <v>43753</v>
      </c>
      <c r="D14" s="9"/>
      <c r="E14" s="9"/>
      <c r="F14" s="9"/>
    </row>
    <row r="15" spans="1:6" x14ac:dyDescent="0.25">
      <c r="A15" s="4" t="s">
        <v>129</v>
      </c>
      <c r="B15" s="4" t="s">
        <v>130</v>
      </c>
      <c r="C15" s="6">
        <v>42924</v>
      </c>
      <c r="D15" s="9"/>
      <c r="E15" s="9"/>
      <c r="F15" s="9"/>
    </row>
    <row r="16" spans="1:6" x14ac:dyDescent="0.25">
      <c r="A16" s="4" t="s">
        <v>131</v>
      </c>
      <c r="B16" s="4" t="s">
        <v>132</v>
      </c>
      <c r="C16" s="6">
        <v>43242</v>
      </c>
      <c r="D16" s="9"/>
      <c r="E16" s="9"/>
      <c r="F16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zoomScaleNormal="100" workbookViewId="0"/>
  </sheetViews>
  <sheetFormatPr baseColWidth="10" defaultColWidth="8.7109375" defaultRowHeight="15" x14ac:dyDescent="0.25"/>
  <cols>
    <col min="1" max="2" width="10" customWidth="1"/>
    <col min="4" max="4" width="3" customWidth="1"/>
    <col min="6" max="6" width="14" customWidth="1"/>
    <col min="7" max="7" width="8" customWidth="1"/>
    <col min="8" max="9" width="14" customWidth="1"/>
  </cols>
  <sheetData>
    <row r="1" spans="1:9" ht="18" x14ac:dyDescent="0.25">
      <c r="A1" s="1" t="s">
        <v>133</v>
      </c>
    </row>
    <row r="2" spans="1:9" x14ac:dyDescent="0.25">
      <c r="A2" s="2" t="s">
        <v>134</v>
      </c>
    </row>
    <row r="4" spans="1:9" x14ac:dyDescent="0.25">
      <c r="A4" s="3" t="s">
        <v>135</v>
      </c>
      <c r="B4" s="3" t="s">
        <v>136</v>
      </c>
    </row>
    <row r="5" spans="1:9" x14ac:dyDescent="0.25">
      <c r="A5" s="13" t="s">
        <v>137</v>
      </c>
      <c r="B5" s="13">
        <v>7</v>
      </c>
      <c r="F5" s="3" t="s">
        <v>138</v>
      </c>
      <c r="G5" s="3" t="s">
        <v>139</v>
      </c>
      <c r="H5" s="3" t="s">
        <v>68</v>
      </c>
      <c r="I5" s="3" t="s">
        <v>140</v>
      </c>
    </row>
    <row r="6" spans="1:9" x14ac:dyDescent="0.25">
      <c r="A6" s="13" t="s">
        <v>141</v>
      </c>
      <c r="B6" s="13">
        <v>64</v>
      </c>
      <c r="F6" s="4" t="s">
        <v>142</v>
      </c>
      <c r="G6" s="4" t="s">
        <v>143</v>
      </c>
      <c r="H6" s="7">
        <v>3684618</v>
      </c>
      <c r="I6" s="7">
        <v>4152259</v>
      </c>
    </row>
    <row r="7" spans="1:9" x14ac:dyDescent="0.25">
      <c r="A7" s="13" t="s">
        <v>144</v>
      </c>
      <c r="B7" s="13">
        <v>50</v>
      </c>
      <c r="F7" s="4" t="s">
        <v>142</v>
      </c>
      <c r="G7" s="4" t="s">
        <v>145</v>
      </c>
      <c r="H7" s="7">
        <v>3165341</v>
      </c>
      <c r="I7" s="7">
        <v>4852590</v>
      </c>
    </row>
    <row r="8" spans="1:9" x14ac:dyDescent="0.25">
      <c r="A8" s="13" t="s">
        <v>146</v>
      </c>
      <c r="B8" s="13">
        <v>26</v>
      </c>
      <c r="F8" s="4" t="s">
        <v>142</v>
      </c>
      <c r="G8" s="4" t="s">
        <v>147</v>
      </c>
      <c r="H8" s="7">
        <v>2574309</v>
      </c>
      <c r="I8" s="7">
        <v>4718154</v>
      </c>
    </row>
    <row r="9" spans="1:9" x14ac:dyDescent="0.25">
      <c r="A9" s="13" t="s">
        <v>148</v>
      </c>
      <c r="B9" s="13">
        <v>83</v>
      </c>
      <c r="F9" s="4" t="s">
        <v>149</v>
      </c>
      <c r="G9" s="4" t="s">
        <v>143</v>
      </c>
      <c r="H9" s="7">
        <v>3805738</v>
      </c>
      <c r="I9" s="7">
        <v>4811906</v>
      </c>
    </row>
    <row r="10" spans="1:9" x14ac:dyDescent="0.25">
      <c r="A10" s="13" t="s">
        <v>150</v>
      </c>
      <c r="B10" s="13">
        <v>19</v>
      </c>
      <c r="F10" s="4" t="s">
        <v>149</v>
      </c>
      <c r="G10" s="4" t="s">
        <v>145</v>
      </c>
      <c r="H10" s="7">
        <v>4307788</v>
      </c>
      <c r="I10" s="7">
        <v>3583891</v>
      </c>
    </row>
    <row r="11" spans="1:9" x14ac:dyDescent="0.25">
      <c r="A11" s="13" t="s">
        <v>151</v>
      </c>
      <c r="B11" s="13">
        <v>68</v>
      </c>
      <c r="F11" s="4" t="s">
        <v>149</v>
      </c>
      <c r="G11" s="4" t="s">
        <v>147</v>
      </c>
      <c r="H11" s="7">
        <v>4962842</v>
      </c>
      <c r="I11" s="7">
        <v>3870939</v>
      </c>
    </row>
    <row r="12" spans="1:9" x14ac:dyDescent="0.25">
      <c r="A12" s="13" t="s">
        <v>152</v>
      </c>
      <c r="B12" s="13">
        <v>12</v>
      </c>
      <c r="F12" s="4" t="s">
        <v>153</v>
      </c>
      <c r="G12" s="4" t="s">
        <v>143</v>
      </c>
      <c r="H12" s="7">
        <v>3504795</v>
      </c>
      <c r="I12" s="7">
        <v>4431774</v>
      </c>
    </row>
    <row r="13" spans="1:9" x14ac:dyDescent="0.25">
      <c r="A13" s="13" t="s">
        <v>154</v>
      </c>
      <c r="B13" s="13">
        <v>32</v>
      </c>
      <c r="F13" s="4" t="s">
        <v>153</v>
      </c>
      <c r="G13" s="4" t="s">
        <v>145</v>
      </c>
      <c r="H13" s="7">
        <v>5708573</v>
      </c>
      <c r="I13" s="7">
        <v>3797843</v>
      </c>
    </row>
    <row r="14" spans="1:9" x14ac:dyDescent="0.25">
      <c r="A14" s="13" t="s">
        <v>155</v>
      </c>
      <c r="B14" s="13">
        <v>50</v>
      </c>
      <c r="F14" s="4" t="s">
        <v>153</v>
      </c>
      <c r="G14" s="4" t="s">
        <v>147</v>
      </c>
      <c r="H14" s="7">
        <v>2967841</v>
      </c>
      <c r="I14" s="7">
        <v>3316504</v>
      </c>
    </row>
    <row r="15" spans="1:9" x14ac:dyDescent="0.25">
      <c r="A15" s="13" t="s">
        <v>156</v>
      </c>
      <c r="B15" s="13">
        <v>21</v>
      </c>
      <c r="F15" s="4" t="s">
        <v>157</v>
      </c>
      <c r="G15" s="4" t="s">
        <v>143</v>
      </c>
      <c r="H15" s="7">
        <v>2348063</v>
      </c>
      <c r="I15" s="7">
        <v>3369555</v>
      </c>
    </row>
    <row r="16" spans="1:9" x14ac:dyDescent="0.25">
      <c r="A16" s="13" t="s">
        <v>158</v>
      </c>
      <c r="B16" s="13">
        <v>36</v>
      </c>
      <c r="F16" s="4" t="s">
        <v>157</v>
      </c>
      <c r="G16" s="4" t="s">
        <v>145</v>
      </c>
      <c r="H16" s="7">
        <v>2634591</v>
      </c>
      <c r="I16" s="7">
        <v>3486448</v>
      </c>
    </row>
    <row r="17" spans="1:9" x14ac:dyDescent="0.25">
      <c r="A17" s="13" t="s">
        <v>159</v>
      </c>
      <c r="B17" s="13">
        <v>55</v>
      </c>
      <c r="F17" s="4" t="s">
        <v>157</v>
      </c>
      <c r="G17" s="4" t="s">
        <v>147</v>
      </c>
      <c r="H17" s="7">
        <v>4762019</v>
      </c>
      <c r="I17" s="7">
        <v>3489341</v>
      </c>
    </row>
    <row r="18" spans="1:9" x14ac:dyDescent="0.25">
      <c r="A18" s="13" t="s">
        <v>160</v>
      </c>
      <c r="B18" s="13">
        <v>55</v>
      </c>
      <c r="F18" s="4" t="s">
        <v>161</v>
      </c>
      <c r="G18" s="4" t="s">
        <v>143</v>
      </c>
      <c r="H18" s="7">
        <v>2050596</v>
      </c>
      <c r="I18" s="7">
        <v>4017040</v>
      </c>
    </row>
    <row r="19" spans="1:9" x14ac:dyDescent="0.25">
      <c r="A19" s="13" t="s">
        <v>162</v>
      </c>
      <c r="B19" s="13">
        <v>19</v>
      </c>
      <c r="F19" s="4" t="s">
        <v>161</v>
      </c>
      <c r="G19" s="4" t="s">
        <v>145</v>
      </c>
      <c r="H19" s="7">
        <v>5485859</v>
      </c>
      <c r="I19" s="7">
        <v>4235481</v>
      </c>
    </row>
    <row r="20" spans="1:9" x14ac:dyDescent="0.25">
      <c r="A20" s="13" t="s">
        <v>163</v>
      </c>
      <c r="B20" s="13">
        <v>15</v>
      </c>
      <c r="F20" s="4" t="s">
        <v>161</v>
      </c>
      <c r="G20" s="4" t="s">
        <v>147</v>
      </c>
      <c r="H20" s="7">
        <v>2764801</v>
      </c>
      <c r="I20" s="7">
        <v>3551019</v>
      </c>
    </row>
    <row r="21" spans="1:9" x14ac:dyDescent="0.25">
      <c r="A21" s="13" t="s">
        <v>164</v>
      </c>
      <c r="B21" s="13">
        <v>26</v>
      </c>
    </row>
    <row r="22" spans="1:9" x14ac:dyDescent="0.25">
      <c r="A22" s="13" t="s">
        <v>165</v>
      </c>
      <c r="B22" s="13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zoomScaleNormal="100" workbookViewId="0"/>
  </sheetViews>
  <sheetFormatPr baseColWidth="10" defaultColWidth="8.7109375" defaultRowHeight="15" x14ac:dyDescent="0.25"/>
  <cols>
    <col min="1" max="1" width="20" customWidth="1"/>
    <col min="2" max="2" width="10" customWidth="1"/>
    <col min="3" max="3" width="16" customWidth="1"/>
  </cols>
  <sheetData>
    <row r="1" spans="1:3" ht="18" x14ac:dyDescent="0.25">
      <c r="A1" s="1" t="s">
        <v>166</v>
      </c>
    </row>
    <row r="2" spans="1:3" x14ac:dyDescent="0.25">
      <c r="A2" s="2" t="s">
        <v>167</v>
      </c>
    </row>
    <row r="4" spans="1:3" x14ac:dyDescent="0.25">
      <c r="A4" s="3" t="s">
        <v>168</v>
      </c>
      <c r="B4" s="3" t="s">
        <v>169</v>
      </c>
      <c r="C4" s="3" t="s">
        <v>170</v>
      </c>
    </row>
    <row r="5" spans="1:3" x14ac:dyDescent="0.25">
      <c r="A5" s="4" t="s">
        <v>171</v>
      </c>
      <c r="B5" s="4">
        <v>66</v>
      </c>
      <c r="C5" s="11"/>
    </row>
    <row r="6" spans="1:3" x14ac:dyDescent="0.25">
      <c r="A6" s="4" t="s">
        <v>172</v>
      </c>
      <c r="B6" s="4">
        <v>30</v>
      </c>
      <c r="C6" s="11"/>
    </row>
    <row r="7" spans="1:3" x14ac:dyDescent="0.25">
      <c r="A7" s="4" t="s">
        <v>173</v>
      </c>
      <c r="B7" s="4">
        <v>48</v>
      </c>
      <c r="C7" s="11"/>
    </row>
    <row r="8" spans="1:3" x14ac:dyDescent="0.25">
      <c r="A8" s="4" t="s">
        <v>174</v>
      </c>
      <c r="B8" s="4">
        <v>83</v>
      </c>
      <c r="C8" s="11"/>
    </row>
    <row r="9" spans="1:3" x14ac:dyDescent="0.25">
      <c r="A9" s="4" t="s">
        <v>175</v>
      </c>
      <c r="B9" s="4">
        <v>98</v>
      </c>
      <c r="C9" s="11"/>
    </row>
    <row r="10" spans="1:3" x14ac:dyDescent="0.25">
      <c r="A10" s="4" t="s">
        <v>176</v>
      </c>
      <c r="B10" s="4">
        <v>77</v>
      </c>
      <c r="C10" s="11"/>
    </row>
    <row r="11" spans="1:3" x14ac:dyDescent="0.25">
      <c r="A11" s="4" t="s">
        <v>177</v>
      </c>
      <c r="B11" s="4">
        <v>70</v>
      </c>
      <c r="C11" s="11"/>
    </row>
    <row r="12" spans="1:3" x14ac:dyDescent="0.25">
      <c r="A12" s="4" t="s">
        <v>178</v>
      </c>
      <c r="B12" s="4">
        <v>46</v>
      </c>
      <c r="C12" s="11"/>
    </row>
    <row r="13" spans="1:3" x14ac:dyDescent="0.25">
      <c r="A13" s="4" t="s">
        <v>179</v>
      </c>
      <c r="B13" s="4">
        <v>95</v>
      </c>
      <c r="C13" s="11"/>
    </row>
    <row r="14" spans="1:3" x14ac:dyDescent="0.25">
      <c r="A14" s="4" t="s">
        <v>180</v>
      </c>
      <c r="B14" s="4">
        <v>36</v>
      </c>
      <c r="C14" s="11"/>
    </row>
    <row r="15" spans="1:3" x14ac:dyDescent="0.25">
      <c r="A15" s="4" t="s">
        <v>181</v>
      </c>
      <c r="B15" s="4">
        <v>88</v>
      </c>
      <c r="C15" s="11"/>
    </row>
    <row r="16" spans="1:3" x14ac:dyDescent="0.25">
      <c r="A16" s="4" t="s">
        <v>182</v>
      </c>
      <c r="B16" s="4">
        <v>80</v>
      </c>
      <c r="C16" s="11"/>
    </row>
    <row r="17" spans="1:3" x14ac:dyDescent="0.25">
      <c r="A17" s="4" t="s">
        <v>183</v>
      </c>
      <c r="B17" s="4">
        <v>80</v>
      </c>
      <c r="C17" s="11"/>
    </row>
    <row r="18" spans="1:3" x14ac:dyDescent="0.25">
      <c r="A18" s="4" t="s">
        <v>184</v>
      </c>
      <c r="B18" s="4">
        <v>81</v>
      </c>
      <c r="C18" s="11"/>
    </row>
    <row r="19" spans="1:3" x14ac:dyDescent="0.25">
      <c r="A19" s="4" t="s">
        <v>185</v>
      </c>
      <c r="B19" s="4">
        <v>80</v>
      </c>
      <c r="C19" s="11"/>
    </row>
    <row r="21" spans="1:3" x14ac:dyDescent="0.25">
      <c r="A21" s="5" t="s">
        <v>186</v>
      </c>
      <c r="B21" s="9"/>
    </row>
    <row r="22" spans="1:3" x14ac:dyDescent="0.25">
      <c r="A22" s="5" t="s">
        <v>187</v>
      </c>
      <c r="B22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zoomScaleNormal="100" workbookViewId="0"/>
  </sheetViews>
  <sheetFormatPr baseColWidth="10" defaultColWidth="8.7109375" defaultRowHeight="15" x14ac:dyDescent="0.25"/>
  <cols>
    <col min="1" max="2" width="16" customWidth="1"/>
    <col min="3" max="3" width="26" customWidth="1"/>
    <col min="4" max="4" width="12" customWidth="1"/>
    <col min="5" max="5" width="20" customWidth="1"/>
  </cols>
  <sheetData>
    <row r="1" spans="1:5" ht="18" x14ac:dyDescent="0.25">
      <c r="A1" s="1" t="s">
        <v>188</v>
      </c>
    </row>
    <row r="2" spans="1:5" x14ac:dyDescent="0.25">
      <c r="A2" s="2" t="s">
        <v>189</v>
      </c>
    </row>
    <row r="4" spans="1:5" x14ac:dyDescent="0.25">
      <c r="A4" s="3" t="s">
        <v>190</v>
      </c>
      <c r="B4" s="3" t="s">
        <v>191</v>
      </c>
      <c r="C4" s="3" t="s">
        <v>192</v>
      </c>
      <c r="D4" s="3" t="s">
        <v>135</v>
      </c>
      <c r="E4" s="3" t="s">
        <v>30</v>
      </c>
    </row>
    <row r="5" spans="1:5" x14ac:dyDescent="0.25">
      <c r="A5" s="4" t="s">
        <v>193</v>
      </c>
      <c r="B5" s="11"/>
      <c r="C5" s="4" t="s">
        <v>194</v>
      </c>
      <c r="D5" s="11"/>
      <c r="E5" s="11"/>
    </row>
    <row r="6" spans="1:5" x14ac:dyDescent="0.25">
      <c r="A6" s="4" t="s">
        <v>195</v>
      </c>
      <c r="B6" s="11"/>
      <c r="C6" s="4" t="s">
        <v>196</v>
      </c>
      <c r="D6" s="11"/>
      <c r="E6" s="11"/>
    </row>
    <row r="7" spans="1:5" x14ac:dyDescent="0.25">
      <c r="A7" s="4" t="s">
        <v>197</v>
      </c>
      <c r="B7" s="11"/>
      <c r="C7" s="4" t="s">
        <v>198</v>
      </c>
      <c r="D7" s="11"/>
      <c r="E7" s="11"/>
    </row>
    <row r="8" spans="1:5" x14ac:dyDescent="0.25">
      <c r="A8" s="4" t="s">
        <v>199</v>
      </c>
      <c r="B8" s="11"/>
      <c r="C8" s="4" t="s">
        <v>200</v>
      </c>
      <c r="D8" s="11"/>
      <c r="E8" s="11"/>
    </row>
    <row r="9" spans="1:5" x14ac:dyDescent="0.25">
      <c r="A9" s="4" t="s">
        <v>201</v>
      </c>
      <c r="B9" s="11"/>
      <c r="C9" s="4" t="s">
        <v>202</v>
      </c>
      <c r="D9" s="11"/>
      <c r="E9" s="11"/>
    </row>
    <row r="10" spans="1:5" x14ac:dyDescent="0.25">
      <c r="A10" s="4" t="s">
        <v>203</v>
      </c>
      <c r="B10" s="11"/>
      <c r="C10" s="4" t="s">
        <v>204</v>
      </c>
      <c r="D10" s="11"/>
      <c r="E10" s="11"/>
    </row>
    <row r="11" spans="1:5" x14ac:dyDescent="0.25">
      <c r="A11" s="4" t="s">
        <v>205</v>
      </c>
      <c r="B11" s="11"/>
      <c r="C11" s="4" t="s">
        <v>206</v>
      </c>
      <c r="D11" s="11"/>
      <c r="E11" s="11"/>
    </row>
    <row r="12" spans="1:5" x14ac:dyDescent="0.25">
      <c r="A12" s="4" t="s">
        <v>207</v>
      </c>
      <c r="B12" s="11"/>
      <c r="C12" s="4" t="s">
        <v>208</v>
      </c>
      <c r="D12" s="11"/>
      <c r="E12" s="11"/>
    </row>
    <row r="13" spans="1:5" x14ac:dyDescent="0.25">
      <c r="A13" s="4" t="s">
        <v>209</v>
      </c>
      <c r="B13" s="11"/>
      <c r="C13" s="4" t="s">
        <v>210</v>
      </c>
      <c r="D13" s="11"/>
      <c r="E13" s="11"/>
    </row>
    <row r="14" spans="1:5" x14ac:dyDescent="0.25">
      <c r="A14" s="4" t="s">
        <v>211</v>
      </c>
      <c r="B14" s="11"/>
      <c r="C14" s="4" t="s">
        <v>212</v>
      </c>
      <c r="D14" s="11"/>
      <c r="E14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6" customWidth="1"/>
    <col min="3" max="3" width="12" customWidth="1"/>
    <col min="4" max="4" width="34" customWidth="1"/>
    <col min="5" max="6" width="14" customWidth="1"/>
  </cols>
  <sheetData>
    <row r="1" spans="1:6" ht="18" x14ac:dyDescent="0.25">
      <c r="A1" s="1" t="s">
        <v>213</v>
      </c>
    </row>
    <row r="2" spans="1:6" x14ac:dyDescent="0.25">
      <c r="A2" s="2" t="s">
        <v>214</v>
      </c>
    </row>
    <row r="4" spans="1:6" x14ac:dyDescent="0.25">
      <c r="A4" s="3" t="s">
        <v>87</v>
      </c>
      <c r="B4" s="3" t="s">
        <v>215</v>
      </c>
      <c r="C4" s="3" t="s">
        <v>216</v>
      </c>
      <c r="D4" s="3" t="s">
        <v>217</v>
      </c>
      <c r="E4" s="3" t="s">
        <v>218</v>
      </c>
      <c r="F4" s="3" t="s">
        <v>219</v>
      </c>
    </row>
    <row r="5" spans="1:6" x14ac:dyDescent="0.25">
      <c r="A5" s="4" t="s">
        <v>93</v>
      </c>
      <c r="B5" s="7">
        <v>3200000</v>
      </c>
      <c r="C5" s="15">
        <v>0.1</v>
      </c>
      <c r="D5" s="8"/>
      <c r="E5" s="8"/>
      <c r="F5" s="8"/>
    </row>
    <row r="6" spans="1:6" x14ac:dyDescent="0.25">
      <c r="A6" s="4" t="s">
        <v>94</v>
      </c>
      <c r="B6" s="7">
        <v>780000</v>
      </c>
      <c r="C6" s="15">
        <v>0.05</v>
      </c>
      <c r="D6" s="8"/>
      <c r="E6" s="8"/>
      <c r="F6" s="8"/>
    </row>
    <row r="7" spans="1:6" x14ac:dyDescent="0.25">
      <c r="A7" s="4" t="s">
        <v>95</v>
      </c>
      <c r="B7" s="7">
        <v>95000</v>
      </c>
      <c r="C7" s="15">
        <v>0</v>
      </c>
      <c r="D7" s="8"/>
      <c r="E7" s="8"/>
      <c r="F7" s="8"/>
    </row>
    <row r="8" spans="1:6" x14ac:dyDescent="0.25">
      <c r="A8" s="4" t="s">
        <v>96</v>
      </c>
      <c r="B8" s="7">
        <v>45000</v>
      </c>
      <c r="C8" s="15">
        <v>0.15</v>
      </c>
      <c r="D8" s="8"/>
      <c r="E8" s="8"/>
      <c r="F8" s="8"/>
    </row>
    <row r="9" spans="1:6" x14ac:dyDescent="0.25">
      <c r="A9" s="4" t="s">
        <v>97</v>
      </c>
      <c r="B9" s="7">
        <v>650000</v>
      </c>
      <c r="C9" s="15">
        <v>0.08</v>
      </c>
      <c r="D9" s="8"/>
      <c r="E9" s="8"/>
      <c r="F9" s="8"/>
    </row>
    <row r="12" spans="1:6" x14ac:dyDescent="0.25">
      <c r="A12" s="5" t="s">
        <v>220</v>
      </c>
      <c r="D12" s="2" t="s">
        <v>221</v>
      </c>
    </row>
    <row r="13" spans="1:6" x14ac:dyDescent="0.25">
      <c r="A13" t="s">
        <v>222</v>
      </c>
      <c r="B13" s="16">
        <v>15000000</v>
      </c>
    </row>
    <row r="14" spans="1:6" x14ac:dyDescent="0.25">
      <c r="A14" t="s">
        <v>223</v>
      </c>
      <c r="B14" s="17">
        <v>1.7999999999999999E-2</v>
      </c>
    </row>
    <row r="15" spans="1:6" x14ac:dyDescent="0.25">
      <c r="A15" t="s">
        <v>224</v>
      </c>
      <c r="B15">
        <v>24</v>
      </c>
    </row>
    <row r="16" spans="1:6" x14ac:dyDescent="0.25">
      <c r="A16" s="5" t="s">
        <v>225</v>
      </c>
      <c r="B16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zoomScaleNormal="100" workbookViewId="0">
      <selection activeCell="F17" sqref="F17"/>
    </sheetView>
  </sheetViews>
  <sheetFormatPr baseColWidth="10" defaultColWidth="8.7109375" defaultRowHeight="15" x14ac:dyDescent="0.25"/>
  <cols>
    <col min="1" max="1" width="60" customWidth="1"/>
    <col min="2" max="2" width="14" customWidth="1"/>
    <col min="6" max="9" width="14" customWidth="1"/>
  </cols>
  <sheetData>
    <row r="1" spans="1:9" ht="18" x14ac:dyDescent="0.25">
      <c r="A1" s="1" t="s">
        <v>226</v>
      </c>
    </row>
    <row r="2" spans="1:9" x14ac:dyDescent="0.25">
      <c r="A2" s="2" t="s">
        <v>227</v>
      </c>
    </row>
    <row r="5" spans="1:9" x14ac:dyDescent="0.25">
      <c r="F5" s="5" t="s">
        <v>228</v>
      </c>
      <c r="G5" s="5" t="s">
        <v>229</v>
      </c>
      <c r="H5" s="5" t="s">
        <v>230</v>
      </c>
      <c r="I5" s="5" t="s">
        <v>231</v>
      </c>
    </row>
    <row r="6" spans="1:9" x14ac:dyDescent="0.25">
      <c r="A6" t="s">
        <v>232</v>
      </c>
      <c r="B6" s="9"/>
      <c r="F6" t="s">
        <v>229</v>
      </c>
      <c r="G6" t="s">
        <v>233</v>
      </c>
      <c r="H6" t="s">
        <v>234</v>
      </c>
      <c r="I6" t="s">
        <v>235</v>
      </c>
    </row>
    <row r="7" spans="1:9" x14ac:dyDescent="0.25">
      <c r="A7" t="s">
        <v>236</v>
      </c>
      <c r="B7" s="9"/>
      <c r="F7" t="s">
        <v>230</v>
      </c>
      <c r="G7" t="s">
        <v>237</v>
      </c>
      <c r="H7" t="s">
        <v>238</v>
      </c>
      <c r="I7" t="s">
        <v>239</v>
      </c>
    </row>
    <row r="8" spans="1:9" x14ac:dyDescent="0.25">
      <c r="F8" t="s">
        <v>231</v>
      </c>
      <c r="G8" t="s">
        <v>240</v>
      </c>
      <c r="H8" t="s">
        <v>241</v>
      </c>
      <c r="I8" t="s">
        <v>242</v>
      </c>
    </row>
    <row r="9" spans="1:9" x14ac:dyDescent="0.25">
      <c r="G9" t="s">
        <v>243</v>
      </c>
      <c r="H9" t="s">
        <v>244</v>
      </c>
      <c r="I9" t="s">
        <v>245</v>
      </c>
    </row>
    <row r="10" spans="1:9" x14ac:dyDescent="0.25">
      <c r="A10" s="2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Indice</vt:lpstr>
      <vt:lpstr>1_Gastos_Basico</vt:lpstr>
      <vt:lpstr>2_SumarSiConjunto</vt:lpstr>
      <vt:lpstr>3_BuscarV_BuscarX</vt:lpstr>
      <vt:lpstr>4_Indice_Coincidir</vt:lpstr>
      <vt:lpstr>5_Fechas_Texto</vt:lpstr>
      <vt:lpstr>6_Formato_Condicional</vt:lpstr>
      <vt:lpstr>7_Si_Anidado_Contar</vt:lpstr>
      <vt:lpstr>8_Limpieza_Datos</vt:lpstr>
      <vt:lpstr>9_Funciones_Financieras</vt:lpstr>
      <vt:lpstr>10_Validacion_Datos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ESTUDIANTES</cp:lastModifiedBy>
  <cp:revision>0</cp:revision>
  <dcterms:created xsi:type="dcterms:W3CDTF">2026-09-19T13:04:39Z</dcterms:created>
  <dcterms:modified xsi:type="dcterms:W3CDTF">2026-09-19T15:48:29Z</dcterms:modified>
  <dc:language>en-US</dc:language>
</cp:coreProperties>
</file>