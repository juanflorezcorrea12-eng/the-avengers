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13_ncr:1_{5CEDD000-338E-47FA-9906-234C9B43EB67}" xr6:coauthVersionLast="36" xr6:coauthVersionMax="47" xr10:uidLastSave="{00000000-0000-0000-0000-000000000000}"/>
  <bookViews>
    <workbookView xWindow="0" yWindow="0" windowWidth="24000" windowHeight="9675" tabRatio="724" activeTab="1" xr2:uid="{00000000-000D-0000-FFFF-FFFF00000000}"/>
  </bookViews>
  <sheets>
    <sheet name="1_Gastos_Basico" sheetId="2" r:id="rId1"/>
    <sheet name="7_Si_Anidado_Contar" sheetId="8" r:id="rId2"/>
    <sheet name="10_Validacion_Datos" sheetId="11" r:id="rId3"/>
  </sheets>
  <definedNames>
    <definedName name="Colombia">'10_Validacion_Datos'!$G$6:$G$9</definedName>
    <definedName name="Mexico">'10_Validacion_Datos'!$H$6:$H$9</definedName>
    <definedName name="Peru">'10_Validacion_Datos'!$I$6:$I$9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8" l="1"/>
  <c r="B21" i="8" l="1"/>
  <c r="C19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5" i="8"/>
  <c r="B37" i="2"/>
  <c r="B36" i="2"/>
  <c r="B35" i="2"/>
</calcChain>
</file>

<file path=xl/sharedStrings.xml><?xml version="1.0" encoding="utf-8"?>
<sst xmlns="http://schemas.openxmlformats.org/spreadsheetml/2006/main" count="117" uniqueCount="68">
  <si>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</si>
  <si>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</si>
  <si>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</si>
  <si>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</si>
  <si>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</si>
  <si>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</si>
  <si>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</si>
  <si>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</si>
  <si>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</si>
  <si>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</si>
  <si>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</si>
  <si>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</si>
  <si>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</si>
  <si>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</si>
  <si>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</si>
  <si>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</si>
  <si>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</si>
  <si>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</si>
  <si>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</si>
  <si>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</si>
  <si>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</si>
  <si>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</si>
  <si>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</si>
  <si>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</si>
  <si>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</si>
  <si>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</si>
  <si>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</si>
  <si>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</si>
  <si>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</si>
  <si>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</si>
  <si>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</si>
  <si>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</si>
  <si>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</si>
  <si>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</si>
  <si>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</si>
  <si>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</si>
  <si>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</si>
  <si>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</si>
  <si>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</si>
  <si>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</si>
  <si>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</si>
  <si>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</si>
  <si>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</si>
  <si>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</si>
  <si>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</si>
  <si>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</si>
  <si>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</si>
  <si>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10 — Listas desplegables dependientes</t>
  </si>
  <si>
    <t>Consigna: crea rangos con nombre para cada país (Fórmulas &gt; Administrador de nombres) usando las listas de la derecha. En B6 pon Validación de Datos &gt; Lista, con los países (columna F). En B7 pon otra Validación de Datos &gt; Lista que use =INDIRECT(B6) para que muestre solo las ciudades del país elegido.</t>
  </si>
  <si>
    <t>Países</t>
  </si>
  <si>
    <t>Colombia</t>
  </si>
  <si>
    <t>Mexico</t>
  </si>
  <si>
    <t>Peru</t>
  </si>
  <si>
    <t>País</t>
  </si>
  <si>
    <t>Bogota</t>
  </si>
  <si>
    <t>CDMX</t>
  </si>
  <si>
    <t>Lima</t>
  </si>
  <si>
    <t>Ciudad</t>
  </si>
  <si>
    <t>Medellin</t>
  </si>
  <si>
    <t>Guadalajara</t>
  </si>
  <si>
    <t>Arequipa</t>
  </si>
  <si>
    <t>Cali</t>
  </si>
  <si>
    <t>Monterrey</t>
  </si>
  <si>
    <t>Cusco</t>
  </si>
  <si>
    <t>Barranquilla</t>
  </si>
  <si>
    <t>Puebla</t>
  </si>
  <si>
    <t>Trujillo</t>
  </si>
  <si>
    <t>Nota: los nombres de rango no pueden llevar espacios ni tildes; usa 'Mexico' y 'Colombia' tal cual aparecen arriba.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</si>
</sst>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4" fillId="3" borderId="1" xfId="0" applyFont="1" applyFill="1" applyBorder="1"/>
    <xf numFmtId="9" fontId="0" fillId="3" borderId="1" xfId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10" zoomScaleNormal="100" workbookViewId="0">
      <selection activeCell="B37" sqref="B37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6">
        <v>46174</v>
      </c>
      <c r="B5" s="4" t="s">
        <v>6</v>
      </c>
      <c r="C5" s="4" t="s">
        <v>7</v>
      </c>
      <c r="D5" s="7">
        <v>94088</v>
      </c>
    </row>
    <row r="6" spans="1:4" x14ac:dyDescent="0.25">
      <c r="A6" s="6">
        <v>46177</v>
      </c>
      <c r="B6" s="4" t="s">
        <v>8</v>
      </c>
      <c r="C6" s="4" t="s">
        <v>9</v>
      </c>
      <c r="D6" s="7">
        <v>356277</v>
      </c>
    </row>
    <row r="7" spans="1:4" x14ac:dyDescent="0.25">
      <c r="A7" s="6">
        <v>46180</v>
      </c>
      <c r="B7" s="4" t="s">
        <v>10</v>
      </c>
      <c r="C7" s="4" t="s">
        <v>11</v>
      </c>
      <c r="D7" s="7">
        <v>52977</v>
      </c>
    </row>
    <row r="8" spans="1:4" x14ac:dyDescent="0.25">
      <c r="A8" s="6">
        <v>46183</v>
      </c>
      <c r="B8" s="4" t="s">
        <v>6</v>
      </c>
      <c r="C8" s="4" t="s">
        <v>12</v>
      </c>
      <c r="D8" s="7">
        <v>64351</v>
      </c>
    </row>
    <row r="9" spans="1:4" x14ac:dyDescent="0.25">
      <c r="A9" s="6">
        <v>46186</v>
      </c>
      <c r="B9" s="4" t="s">
        <v>8</v>
      </c>
      <c r="C9" s="4" t="s">
        <v>13</v>
      </c>
      <c r="D9" s="7">
        <v>320548</v>
      </c>
    </row>
    <row r="10" spans="1:4" x14ac:dyDescent="0.25">
      <c r="A10" s="6">
        <v>46189</v>
      </c>
      <c r="B10" s="4" t="s">
        <v>10</v>
      </c>
      <c r="C10" s="4" t="s">
        <v>11</v>
      </c>
      <c r="D10" s="7">
        <v>281042</v>
      </c>
    </row>
    <row r="11" spans="1:4" x14ac:dyDescent="0.25">
      <c r="A11" s="6">
        <v>46192</v>
      </c>
      <c r="B11" s="4" t="s">
        <v>6</v>
      </c>
      <c r="C11" s="4" t="s">
        <v>14</v>
      </c>
      <c r="D11" s="7">
        <v>34658</v>
      </c>
    </row>
    <row r="12" spans="1:4" x14ac:dyDescent="0.25">
      <c r="A12" s="6">
        <v>46195</v>
      </c>
      <c r="B12" s="4" t="s">
        <v>8</v>
      </c>
      <c r="C12" s="4" t="s">
        <v>15</v>
      </c>
      <c r="D12" s="7">
        <v>242355</v>
      </c>
    </row>
    <row r="13" spans="1:4" x14ac:dyDescent="0.25">
      <c r="A13" s="6">
        <v>46198</v>
      </c>
      <c r="B13" s="4" t="s">
        <v>10</v>
      </c>
      <c r="C13" s="4" t="s">
        <v>16</v>
      </c>
      <c r="D13" s="7">
        <v>51624</v>
      </c>
    </row>
    <row r="14" spans="1:4" x14ac:dyDescent="0.25">
      <c r="A14" s="6">
        <v>46201</v>
      </c>
      <c r="B14" s="4" t="s">
        <v>6</v>
      </c>
      <c r="C14" s="4" t="s">
        <v>14</v>
      </c>
      <c r="D14" s="7">
        <v>62559</v>
      </c>
    </row>
    <row r="15" spans="1:4" x14ac:dyDescent="0.25">
      <c r="A15" s="6">
        <v>46204</v>
      </c>
      <c r="B15" s="4" t="s">
        <v>8</v>
      </c>
      <c r="C15" s="4" t="s">
        <v>17</v>
      </c>
      <c r="D15" s="7">
        <v>237570</v>
      </c>
    </row>
    <row r="16" spans="1:4" x14ac:dyDescent="0.25">
      <c r="A16" s="6">
        <v>46207</v>
      </c>
      <c r="B16" s="4" t="s">
        <v>10</v>
      </c>
      <c r="C16" s="4" t="s">
        <v>11</v>
      </c>
      <c r="D16" s="7">
        <v>448508</v>
      </c>
    </row>
    <row r="17" spans="1:4" x14ac:dyDescent="0.25">
      <c r="A17" s="6">
        <v>46210</v>
      </c>
      <c r="B17" s="4" t="s">
        <v>6</v>
      </c>
      <c r="C17" s="4" t="s">
        <v>12</v>
      </c>
      <c r="D17" s="7">
        <v>79907</v>
      </c>
    </row>
    <row r="18" spans="1:4" x14ac:dyDescent="0.25">
      <c r="A18" s="6">
        <v>46213</v>
      </c>
      <c r="B18" s="4" t="s">
        <v>8</v>
      </c>
      <c r="C18" s="4" t="s">
        <v>18</v>
      </c>
      <c r="D18" s="7">
        <v>345629</v>
      </c>
    </row>
    <row r="19" spans="1:4" x14ac:dyDescent="0.25">
      <c r="A19" s="6">
        <v>46216</v>
      </c>
      <c r="B19" s="4" t="s">
        <v>10</v>
      </c>
      <c r="C19" s="4" t="s">
        <v>19</v>
      </c>
      <c r="D19" s="7">
        <v>47433</v>
      </c>
    </row>
    <row r="20" spans="1:4" x14ac:dyDescent="0.25">
      <c r="A20" s="6">
        <v>46219</v>
      </c>
      <c r="B20" s="4" t="s">
        <v>6</v>
      </c>
      <c r="C20" s="4" t="s">
        <v>12</v>
      </c>
      <c r="D20" s="7">
        <v>321992</v>
      </c>
    </row>
    <row r="21" spans="1:4" x14ac:dyDescent="0.25">
      <c r="A21" s="6">
        <v>46222</v>
      </c>
      <c r="B21" s="4" t="s">
        <v>8</v>
      </c>
      <c r="C21" s="4" t="s">
        <v>9</v>
      </c>
      <c r="D21" s="7">
        <v>40999</v>
      </c>
    </row>
    <row r="22" spans="1:4" x14ac:dyDescent="0.25">
      <c r="A22" s="6">
        <v>46225</v>
      </c>
      <c r="B22" s="4" t="s">
        <v>10</v>
      </c>
      <c r="C22" s="4" t="s">
        <v>20</v>
      </c>
      <c r="D22" s="7">
        <v>39422</v>
      </c>
    </row>
    <row r="23" spans="1:4" x14ac:dyDescent="0.25">
      <c r="A23" s="6">
        <v>46228</v>
      </c>
      <c r="B23" s="4" t="s">
        <v>6</v>
      </c>
      <c r="C23" s="4" t="s">
        <v>12</v>
      </c>
      <c r="D23" s="7">
        <v>84821</v>
      </c>
    </row>
    <row r="24" spans="1:4" x14ac:dyDescent="0.25">
      <c r="A24" s="6">
        <v>46231</v>
      </c>
      <c r="B24" s="4" t="s">
        <v>8</v>
      </c>
      <c r="C24" s="4" t="s">
        <v>13</v>
      </c>
      <c r="D24" s="7">
        <v>234749</v>
      </c>
    </row>
    <row r="25" spans="1:4" x14ac:dyDescent="0.25">
      <c r="A25" s="6">
        <v>46234</v>
      </c>
      <c r="B25" s="4" t="s">
        <v>10</v>
      </c>
      <c r="C25" s="4" t="s">
        <v>20</v>
      </c>
      <c r="D25" s="7">
        <v>298475</v>
      </c>
    </row>
    <row r="26" spans="1:4" x14ac:dyDescent="0.25">
      <c r="A26" s="6">
        <v>46237</v>
      </c>
      <c r="B26" s="4" t="s">
        <v>6</v>
      </c>
      <c r="C26" s="4" t="s">
        <v>21</v>
      </c>
      <c r="D26" s="7">
        <v>314323</v>
      </c>
    </row>
    <row r="27" spans="1:4" x14ac:dyDescent="0.25">
      <c r="A27" s="6">
        <v>46240</v>
      </c>
      <c r="B27" s="4" t="s">
        <v>8</v>
      </c>
      <c r="C27" s="4" t="s">
        <v>13</v>
      </c>
      <c r="D27" s="7">
        <v>308736</v>
      </c>
    </row>
    <row r="28" spans="1:4" x14ac:dyDescent="0.25">
      <c r="A28" s="6">
        <v>46243</v>
      </c>
      <c r="B28" s="4" t="s">
        <v>10</v>
      </c>
      <c r="C28" s="4" t="s">
        <v>20</v>
      </c>
      <c r="D28" s="7">
        <v>69030</v>
      </c>
    </row>
    <row r="29" spans="1:4" x14ac:dyDescent="0.25">
      <c r="A29" s="6">
        <v>46246</v>
      </c>
      <c r="B29" s="4" t="s">
        <v>6</v>
      </c>
      <c r="C29" s="4" t="s">
        <v>12</v>
      </c>
      <c r="D29" s="7">
        <v>314475</v>
      </c>
    </row>
    <row r="30" spans="1:4" x14ac:dyDescent="0.25">
      <c r="A30" s="6">
        <v>46249</v>
      </c>
      <c r="B30" s="4" t="s">
        <v>8</v>
      </c>
      <c r="C30" s="4" t="s">
        <v>18</v>
      </c>
      <c r="D30" s="7">
        <v>210243</v>
      </c>
    </row>
    <row r="31" spans="1:4" x14ac:dyDescent="0.25">
      <c r="A31" s="6">
        <v>46252</v>
      </c>
      <c r="B31" s="4" t="s">
        <v>10</v>
      </c>
      <c r="C31" s="4" t="s">
        <v>11</v>
      </c>
      <c r="D31" s="7">
        <v>302175</v>
      </c>
    </row>
    <row r="32" spans="1:4" x14ac:dyDescent="0.25">
      <c r="A32" s="6">
        <v>46255</v>
      </c>
      <c r="B32" s="4" t="s">
        <v>6</v>
      </c>
      <c r="C32" s="4" t="s">
        <v>21</v>
      </c>
      <c r="D32" s="7">
        <v>310891</v>
      </c>
    </row>
    <row r="33" spans="1:4" x14ac:dyDescent="0.25">
      <c r="A33" s="6">
        <v>46258</v>
      </c>
      <c r="B33" s="4" t="s">
        <v>8</v>
      </c>
      <c r="C33" s="4" t="s">
        <v>15</v>
      </c>
      <c r="D33" s="7">
        <v>339539</v>
      </c>
    </row>
    <row r="34" spans="1:4" x14ac:dyDescent="0.25">
      <c r="A34" s="6">
        <v>46261</v>
      </c>
      <c r="B34" s="4" t="s">
        <v>10</v>
      </c>
      <c r="C34" s="4" t="s">
        <v>20</v>
      </c>
      <c r="D34" s="7">
        <v>275264</v>
      </c>
    </row>
    <row r="35" spans="1:4" x14ac:dyDescent="0.25">
      <c r="A35" s="5" t="s">
        <v>22</v>
      </c>
      <c r="B35" s="8">
        <f>SUM(D7:D34)</f>
        <v>5734295</v>
      </c>
    </row>
    <row r="36" spans="1:4" x14ac:dyDescent="0.25">
      <c r="A36" s="5" t="s">
        <v>23</v>
      </c>
      <c r="B36" s="8">
        <f>AVERAGE(D5:D34)</f>
        <v>206155.33333333334</v>
      </c>
    </row>
    <row r="37" spans="1:4" x14ac:dyDescent="0.25">
      <c r="A37" s="5" t="s">
        <v>24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tabSelected="1" zoomScaleNormal="100" workbookViewId="0">
      <selection activeCell="B22" sqref="B22"/>
    </sheetView>
  </sheetViews>
  <sheetFormatPr baseColWidth="10" defaultColWidth="8.7109375" defaultRowHeight="15" x14ac:dyDescent="0.25"/>
  <cols>
    <col min="1" max="1" width="20" customWidth="1"/>
    <col min="2" max="2" width="21.42578125" customWidth="1"/>
    <col min="3" max="3" width="16" customWidth="1"/>
  </cols>
  <sheetData>
    <row r="1" spans="1:3" ht="18" x14ac:dyDescent="0.25">
      <c r="A1" s="1" t="s">
        <v>25</v>
      </c>
    </row>
    <row r="2" spans="1:3" x14ac:dyDescent="0.25">
      <c r="A2" s="2" t="s">
        <v>26</v>
      </c>
    </row>
    <row r="4" spans="1:3" x14ac:dyDescent="0.25">
      <c r="A4" s="3" t="s">
        <v>27</v>
      </c>
      <c r="B4" s="3" t="s">
        <v>28</v>
      </c>
      <c r="C4" s="3" t="s">
        <v>29</v>
      </c>
    </row>
    <row r="5" spans="1:3" x14ac:dyDescent="0.25">
      <c r="A5" s="4" t="s">
        <v>30</v>
      </c>
      <c r="B5" s="4">
        <v>66</v>
      </c>
      <c r="C5" s="10" t="str">
        <f>IF(B5&gt;=90,"Bueno",IF(B5&gt;=50,"Regular","Insuficiente"))</f>
        <v>Regular</v>
      </c>
    </row>
    <row r="6" spans="1:3" x14ac:dyDescent="0.25">
      <c r="A6" s="4" t="s">
        <v>31</v>
      </c>
      <c r="B6" s="4">
        <v>30</v>
      </c>
      <c r="C6" s="10" t="str">
        <f t="shared" ref="C6:C19" si="0">IF(B6&gt;=90,"Bueno",IF(B6&gt;=50,"Regular","Insuficiente"))</f>
        <v>Insuficiente</v>
      </c>
    </row>
    <row r="7" spans="1:3" x14ac:dyDescent="0.25">
      <c r="A7" s="4" t="s">
        <v>32</v>
      </c>
      <c r="B7" s="4">
        <v>48</v>
      </c>
      <c r="C7" s="10" t="str">
        <f t="shared" si="0"/>
        <v>Insuficiente</v>
      </c>
    </row>
    <row r="8" spans="1:3" x14ac:dyDescent="0.25">
      <c r="A8" s="4" t="s">
        <v>33</v>
      </c>
      <c r="B8" s="4">
        <v>83</v>
      </c>
      <c r="C8" s="10" t="str">
        <f t="shared" si="0"/>
        <v>Regular</v>
      </c>
    </row>
    <row r="9" spans="1:3" x14ac:dyDescent="0.25">
      <c r="A9" s="4" t="s">
        <v>34</v>
      </c>
      <c r="B9" s="4">
        <v>98</v>
      </c>
      <c r="C9" s="10" t="str">
        <f t="shared" si="0"/>
        <v>Bueno</v>
      </c>
    </row>
    <row r="10" spans="1:3" x14ac:dyDescent="0.25">
      <c r="A10" s="4" t="s">
        <v>35</v>
      </c>
      <c r="B10" s="4">
        <v>77</v>
      </c>
      <c r="C10" s="10" t="str">
        <f t="shared" si="0"/>
        <v>Regular</v>
      </c>
    </row>
    <row r="11" spans="1:3" x14ac:dyDescent="0.25">
      <c r="A11" s="4" t="s">
        <v>36</v>
      </c>
      <c r="B11" s="4">
        <v>70</v>
      </c>
      <c r="C11" s="10" t="str">
        <f t="shared" si="0"/>
        <v>Regular</v>
      </c>
    </row>
    <row r="12" spans="1:3" x14ac:dyDescent="0.25">
      <c r="A12" s="4" t="s">
        <v>37</v>
      </c>
      <c r="B12" s="4">
        <v>46</v>
      </c>
      <c r="C12" s="10" t="str">
        <f t="shared" si="0"/>
        <v>Insuficiente</v>
      </c>
    </row>
    <row r="13" spans="1:3" x14ac:dyDescent="0.25">
      <c r="A13" s="4" t="s">
        <v>38</v>
      </c>
      <c r="B13" s="4">
        <v>95</v>
      </c>
      <c r="C13" s="10" t="str">
        <f t="shared" si="0"/>
        <v>Bueno</v>
      </c>
    </row>
    <row r="14" spans="1:3" x14ac:dyDescent="0.25">
      <c r="A14" s="4" t="s">
        <v>39</v>
      </c>
      <c r="B14" s="4">
        <v>36</v>
      </c>
      <c r="C14" s="10" t="str">
        <f t="shared" si="0"/>
        <v>Insuficiente</v>
      </c>
    </row>
    <row r="15" spans="1:3" x14ac:dyDescent="0.25">
      <c r="A15" s="4" t="s">
        <v>40</v>
      </c>
      <c r="B15" s="4">
        <v>88</v>
      </c>
      <c r="C15" s="10" t="str">
        <f t="shared" si="0"/>
        <v>Regular</v>
      </c>
    </row>
    <row r="16" spans="1:3" x14ac:dyDescent="0.25">
      <c r="A16" s="4" t="s">
        <v>41</v>
      </c>
      <c r="B16" s="4">
        <v>80</v>
      </c>
      <c r="C16" s="10" t="str">
        <f t="shared" si="0"/>
        <v>Regular</v>
      </c>
    </row>
    <row r="17" spans="1:3" x14ac:dyDescent="0.25">
      <c r="A17" s="4" t="s">
        <v>42</v>
      </c>
      <c r="B17" s="4">
        <v>80</v>
      </c>
      <c r="C17" s="10" t="str">
        <f t="shared" si="0"/>
        <v>Regular</v>
      </c>
    </row>
    <row r="18" spans="1:3" x14ac:dyDescent="0.25">
      <c r="A18" s="4" t="s">
        <v>43</v>
      </c>
      <c r="B18" s="4">
        <v>81</v>
      </c>
      <c r="C18" s="10" t="str">
        <f t="shared" si="0"/>
        <v>Regular</v>
      </c>
    </row>
    <row r="19" spans="1:3" x14ac:dyDescent="0.25">
      <c r="A19" s="4" t="s">
        <v>44</v>
      </c>
      <c r="B19" s="4">
        <v>80</v>
      </c>
      <c r="C19" s="10" t="str">
        <f t="shared" si="0"/>
        <v>Regular</v>
      </c>
    </row>
    <row r="21" spans="1:3" x14ac:dyDescent="0.25">
      <c r="A21" s="5" t="s">
        <v>45</v>
      </c>
      <c r="B21" s="9">
        <f>COUNTIF(B5:B19, "&gt;50")</f>
        <v>11</v>
      </c>
    </row>
    <row r="22" spans="1:3" x14ac:dyDescent="0.25">
      <c r="A22" s="5" t="s">
        <v>46</v>
      </c>
      <c r="B22" s="11">
        <f>ROUND(AVERAGEIF(B5:B19,"&gt;=50"),0)</f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zoomScaleNormal="100" workbookViewId="0">
      <selection activeCell="C16" sqref="C16"/>
    </sheetView>
  </sheetViews>
  <sheetFormatPr baseColWidth="10" defaultColWidth="8.7109375" defaultRowHeight="15" x14ac:dyDescent="0.25"/>
  <cols>
    <col min="1" max="1" width="60" customWidth="1"/>
    <col min="2" max="2" width="14" customWidth="1"/>
    <col min="6" max="9" width="14" customWidth="1"/>
  </cols>
  <sheetData>
    <row r="1" spans="1:9" ht="18" x14ac:dyDescent="0.25">
      <c r="A1" s="1" t="s">
        <v>47</v>
      </c>
    </row>
    <row r="2" spans="1:9" x14ac:dyDescent="0.25">
      <c r="A2" s="2" t="s">
        <v>48</v>
      </c>
    </row>
    <row r="5" spans="1:9" x14ac:dyDescent="0.25">
      <c r="F5" s="5" t="s">
        <v>49</v>
      </c>
      <c r="G5" s="5" t="s">
        <v>50</v>
      </c>
      <c r="H5" s="5" t="s">
        <v>51</v>
      </c>
      <c r="I5" s="5" t="s">
        <v>52</v>
      </c>
    </row>
    <row r="6" spans="1:9" x14ac:dyDescent="0.25">
      <c r="A6" t="s">
        <v>53</v>
      </c>
      <c r="B6" s="9" t="s">
        <v>51</v>
      </c>
      <c r="F6" t="s">
        <v>50</v>
      </c>
      <c r="G6" t="s">
        <v>54</v>
      </c>
      <c r="H6" t="s">
        <v>55</v>
      </c>
      <c r="I6" t="s">
        <v>56</v>
      </c>
    </row>
    <row r="7" spans="1:9" x14ac:dyDescent="0.25">
      <c r="A7" t="s">
        <v>57</v>
      </c>
      <c r="B7" s="9" t="s">
        <v>59</v>
      </c>
      <c r="F7" t="s">
        <v>51</v>
      </c>
      <c r="G7" t="s">
        <v>58</v>
      </c>
      <c r="H7" t="s">
        <v>59</v>
      </c>
      <c r="I7" t="s">
        <v>60</v>
      </c>
    </row>
    <row r="8" spans="1:9" x14ac:dyDescent="0.25">
      <c r="F8" t="s">
        <v>52</v>
      </c>
      <c r="G8" t="s">
        <v>61</v>
      </c>
      <c r="H8" t="s">
        <v>62</v>
      </c>
      <c r="I8" t="s">
        <v>63</v>
      </c>
    </row>
    <row r="9" spans="1:9" x14ac:dyDescent="0.25">
      <c r="G9" t="s">
        <v>64</v>
      </c>
      <c r="H9" t="s">
        <v>65</v>
      </c>
      <c r="I9" t="s">
        <v>66</v>
      </c>
    </row>
    <row r="10" spans="1:9" x14ac:dyDescent="0.25">
      <c r="A10" s="2" t="s">
        <v>67</v>
      </c>
    </row>
  </sheetData>
  <dataValidations count="2">
    <dataValidation type="list" allowBlank="1" showInputMessage="1" showErrorMessage="1" sqref="B6" xr:uid="{5CD075D9-DB00-4F95-885C-753676567BB0}">
      <formula1>$F$6:$F$8</formula1>
    </dataValidation>
    <dataValidation type="list" allowBlank="1" showInputMessage="1" showErrorMessage="1" sqref="B7" xr:uid="{D8B40C4B-9202-4CAC-9F75-7F3872B8A657}">
      <formula1>INDIRECT($B$6)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1_Gastos_Basico</vt:lpstr>
      <vt:lpstr>7_Si_Anidado_Contar</vt:lpstr>
      <vt:lpstr>10_Validacion_Datos</vt:lpstr>
      <vt:lpstr>Colombia</vt:lpstr>
      <vt:lpstr>Mexico</vt:lpstr>
      <vt:lpstr>Peru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2026-09-19T16:27:32Z</dcterms:modified>
  <dc:language>en-US</dc:language>
</cp:coreProperties>
</file>