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9864E260-84C7-44C4-B208-47BC48586A28}" xr6:coauthVersionLast="36" xr6:coauthVersionMax="36" xr10:uidLastSave="{00000000-0000-0000-0000-000000000000}"/>
  <bookViews>
    <workbookView xWindow="0" yWindow="0" windowWidth="17970" windowHeight="7455" tabRatio="724" activeTab="2" xr2:uid="{00000000-000D-0000-FFFF-FFFF00000000}"/>
  </bookViews>
  <sheets>
    <sheet name="Indice" sheetId="1" r:id="rId1"/>
    <sheet name="1_Gastos_Basico" sheetId="2" r:id="rId2"/>
    <sheet name="5_Fechas_Texto" sheetId="6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6" l="1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D6" i="6"/>
  <c r="D7" i="6"/>
  <c r="D8" i="6"/>
  <c r="D9" i="6"/>
  <c r="D10" i="6"/>
  <c r="D11" i="6"/>
  <c r="D12" i="6"/>
  <c r="D13" i="6"/>
  <c r="D14" i="6"/>
  <c r="D15" i="6"/>
  <c r="D16" i="6"/>
  <c r="D5" i="6"/>
  <c r="B37" i="2"/>
  <c r="B36" i="2"/>
  <c r="B35" i="2"/>
</calcChain>
</file>

<file path=xl/sharedStrings.xml><?xml version="1.0" encoding="utf-8"?>
<sst xmlns="http://schemas.openxmlformats.org/spreadsheetml/2006/main" count="127" uniqueCount="83">
  <si>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</si>
  <si>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</si>
  <si>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</si>
  <si>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</si>
  <si>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</si>
  <si>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</si>
  <si>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</si>
  <si>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</si>
  <si>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</si>
  <si>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</si>
  <si>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</si>
  <si>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</si>
  <si>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</si>
  <si>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</si>
  <si>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</si>
  <si>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</si>
  <si>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</si>
  <si>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</si>
  <si>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</si>
  <si>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</si>
  <si>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</si>
  <si>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</si>
  <si>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</si>
  <si>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</si>
  <si>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</si>
  <si>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</si>
  <si>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</si>
  <si>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</si>
  <si>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</si>
  <si>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</si>
  <si>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</si>
  <si>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</si>
  <si>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</si>
  <si>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</si>
  <si>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</si>
  <si>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</si>
  <si>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</si>
  <si>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</si>
  <si>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</si>
  <si>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</si>
  <si>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</si>
  <si>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</si>
  <si>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</si>
  <si>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</si>
  <si>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</si>
  <si>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</si>
  <si>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</si>
  <si>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</si>
  <si>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</si>
  <si>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</si>
  <si>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</si>
  <si>
    <t>Nombre</t>
  </si>
  <si>
    <t>Ejercicio 5 — Fechas y texto</t>
  </si>
  <si>
    <t>Consigna: en la columna D (amarilla) une nombre y apellido con CONCAT o TEXTUNIR. En la columna E, calcula la antigüedad en años con SIFECHA(fecha,HOY(),"y"). En la columna F, extrae el nombre del mes de ingreso con TEXTO(fecha,"mmmm").</t>
  </si>
  <si>
    <t>Apellido</t>
  </si>
  <si>
    <t>Fecha de ingreso</t>
  </si>
  <si>
    <t>Nombre completo</t>
  </si>
  <si>
    <t>Antigüedad (años)</t>
  </si>
  <si>
    <t>Mes de ingreso</t>
  </si>
  <si>
    <t>Valentina</t>
  </si>
  <si>
    <t>Ríos</t>
  </si>
  <si>
    <t>Santiago</t>
  </si>
  <si>
    <t>Suárez</t>
  </si>
  <si>
    <t>Isabella</t>
  </si>
  <si>
    <t>Molina</t>
  </si>
  <si>
    <t>Mateo</t>
  </si>
  <si>
    <t>Cárdenas</t>
  </si>
  <si>
    <t>Camila</t>
  </si>
  <si>
    <t>Beltrán</t>
  </si>
  <si>
    <t>Juan</t>
  </si>
  <si>
    <t>Pardo</t>
  </si>
  <si>
    <t>Daniela</t>
  </si>
  <si>
    <t>Núñez</t>
  </si>
  <si>
    <t>Nicolás</t>
  </si>
  <si>
    <t>Vargas</t>
  </si>
  <si>
    <t>Gabriela</t>
  </si>
  <si>
    <t>Cortés</t>
  </si>
  <si>
    <t>Julián</t>
  </si>
  <si>
    <t>Zapata</t>
  </si>
  <si>
    <t>Mariana</t>
  </si>
  <si>
    <t>Herrera</t>
  </si>
  <si>
    <t>Esteban</t>
  </si>
  <si>
    <t>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</si>
</sst>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opLeftCell="A5" zoomScaleNormal="100" workbookViewId="0">
      <selection activeCell="B38" sqref="B38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26</v>
      </c>
    </row>
    <row r="2" spans="1:4" x14ac:dyDescent="0.25">
      <c r="A2" s="2" t="s">
        <v>27</v>
      </c>
    </row>
    <row r="4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spans="1:4" x14ac:dyDescent="0.25">
      <c r="A5" s="6">
        <v>46174</v>
      </c>
      <c r="B5" s="4" t="s">
        <v>32</v>
      </c>
      <c r="C5" s="4" t="s">
        <v>33</v>
      </c>
      <c r="D5" s="7">
        <v>94088</v>
      </c>
    </row>
    <row r="6" spans="1:4" x14ac:dyDescent="0.25">
      <c r="A6" s="6">
        <v>46177</v>
      </c>
      <c r="B6" s="4" t="s">
        <v>34</v>
      </c>
      <c r="C6" s="4" t="s">
        <v>35</v>
      </c>
      <c r="D6" s="7">
        <v>356277</v>
      </c>
    </row>
    <row r="7" spans="1:4" x14ac:dyDescent="0.25">
      <c r="A7" s="6">
        <v>46180</v>
      </c>
      <c r="B7" s="4" t="s">
        <v>36</v>
      </c>
      <c r="C7" s="4" t="s">
        <v>37</v>
      </c>
      <c r="D7" s="7">
        <v>52977</v>
      </c>
    </row>
    <row r="8" spans="1:4" x14ac:dyDescent="0.25">
      <c r="A8" s="6">
        <v>46183</v>
      </c>
      <c r="B8" s="4" t="s">
        <v>32</v>
      </c>
      <c r="C8" s="4" t="s">
        <v>38</v>
      </c>
      <c r="D8" s="7">
        <v>64351</v>
      </c>
    </row>
    <row r="9" spans="1:4" x14ac:dyDescent="0.25">
      <c r="A9" s="6">
        <v>46186</v>
      </c>
      <c r="B9" s="4" t="s">
        <v>34</v>
      </c>
      <c r="C9" s="4" t="s">
        <v>39</v>
      </c>
      <c r="D9" s="7">
        <v>320548</v>
      </c>
    </row>
    <row r="10" spans="1:4" x14ac:dyDescent="0.25">
      <c r="A10" s="6">
        <v>46189</v>
      </c>
      <c r="B10" s="4" t="s">
        <v>36</v>
      </c>
      <c r="C10" s="4" t="s">
        <v>37</v>
      </c>
      <c r="D10" s="7">
        <v>281042</v>
      </c>
    </row>
    <row r="11" spans="1:4" x14ac:dyDescent="0.25">
      <c r="A11" s="6">
        <v>46192</v>
      </c>
      <c r="B11" s="4" t="s">
        <v>32</v>
      </c>
      <c r="C11" s="4" t="s">
        <v>40</v>
      </c>
      <c r="D11" s="7">
        <v>34658</v>
      </c>
    </row>
    <row r="12" spans="1:4" x14ac:dyDescent="0.25">
      <c r="A12" s="6">
        <v>46195</v>
      </c>
      <c r="B12" s="4" t="s">
        <v>34</v>
      </c>
      <c r="C12" s="4" t="s">
        <v>41</v>
      </c>
      <c r="D12" s="7">
        <v>242355</v>
      </c>
    </row>
    <row r="13" spans="1:4" x14ac:dyDescent="0.25">
      <c r="A13" s="6">
        <v>46198</v>
      </c>
      <c r="B13" s="4" t="s">
        <v>36</v>
      </c>
      <c r="C13" s="4" t="s">
        <v>42</v>
      </c>
      <c r="D13" s="7">
        <v>51624</v>
      </c>
    </row>
    <row r="14" spans="1:4" x14ac:dyDescent="0.25">
      <c r="A14" s="6">
        <v>46201</v>
      </c>
      <c r="B14" s="4" t="s">
        <v>32</v>
      </c>
      <c r="C14" s="4" t="s">
        <v>40</v>
      </c>
      <c r="D14" s="7">
        <v>62559</v>
      </c>
    </row>
    <row r="15" spans="1:4" x14ac:dyDescent="0.25">
      <c r="A15" s="6">
        <v>46204</v>
      </c>
      <c r="B15" s="4" t="s">
        <v>34</v>
      </c>
      <c r="C15" s="4" t="s">
        <v>43</v>
      </c>
      <c r="D15" s="7">
        <v>237570</v>
      </c>
    </row>
    <row r="16" spans="1:4" x14ac:dyDescent="0.25">
      <c r="A16" s="6">
        <v>46207</v>
      </c>
      <c r="B16" s="4" t="s">
        <v>36</v>
      </c>
      <c r="C16" s="4" t="s">
        <v>37</v>
      </c>
      <c r="D16" s="7">
        <v>448508</v>
      </c>
    </row>
    <row r="17" spans="1:4" x14ac:dyDescent="0.25">
      <c r="A17" s="6">
        <v>46210</v>
      </c>
      <c r="B17" s="4" t="s">
        <v>32</v>
      </c>
      <c r="C17" s="4" t="s">
        <v>38</v>
      </c>
      <c r="D17" s="7">
        <v>79907</v>
      </c>
    </row>
    <row r="18" spans="1:4" x14ac:dyDescent="0.25">
      <c r="A18" s="6">
        <v>46213</v>
      </c>
      <c r="B18" s="4" t="s">
        <v>34</v>
      </c>
      <c r="C18" s="4" t="s">
        <v>44</v>
      </c>
      <c r="D18" s="7">
        <v>345629</v>
      </c>
    </row>
    <row r="19" spans="1:4" x14ac:dyDescent="0.25">
      <c r="A19" s="6">
        <v>46216</v>
      </c>
      <c r="B19" s="4" t="s">
        <v>36</v>
      </c>
      <c r="C19" s="4" t="s">
        <v>45</v>
      </c>
      <c r="D19" s="7">
        <v>47433</v>
      </c>
    </row>
    <row r="20" spans="1:4" x14ac:dyDescent="0.25">
      <c r="A20" s="6">
        <v>46219</v>
      </c>
      <c r="B20" s="4" t="s">
        <v>32</v>
      </c>
      <c r="C20" s="4" t="s">
        <v>38</v>
      </c>
      <c r="D20" s="7">
        <v>321992</v>
      </c>
    </row>
    <row r="21" spans="1:4" x14ac:dyDescent="0.25">
      <c r="A21" s="6">
        <v>46222</v>
      </c>
      <c r="B21" s="4" t="s">
        <v>34</v>
      </c>
      <c r="C21" s="4" t="s">
        <v>35</v>
      </c>
      <c r="D21" s="7">
        <v>40999</v>
      </c>
    </row>
    <row r="22" spans="1:4" x14ac:dyDescent="0.25">
      <c r="A22" s="6">
        <v>46225</v>
      </c>
      <c r="B22" s="4" t="s">
        <v>36</v>
      </c>
      <c r="C22" s="4" t="s">
        <v>46</v>
      </c>
      <c r="D22" s="7">
        <v>39422</v>
      </c>
    </row>
    <row r="23" spans="1:4" x14ac:dyDescent="0.25">
      <c r="A23" s="6">
        <v>46228</v>
      </c>
      <c r="B23" s="4" t="s">
        <v>32</v>
      </c>
      <c r="C23" s="4" t="s">
        <v>38</v>
      </c>
      <c r="D23" s="7">
        <v>84821</v>
      </c>
    </row>
    <row r="24" spans="1:4" x14ac:dyDescent="0.25">
      <c r="A24" s="6">
        <v>46231</v>
      </c>
      <c r="B24" s="4" t="s">
        <v>34</v>
      </c>
      <c r="C24" s="4" t="s">
        <v>39</v>
      </c>
      <c r="D24" s="7">
        <v>234749</v>
      </c>
    </row>
    <row r="25" spans="1:4" x14ac:dyDescent="0.25">
      <c r="A25" s="6">
        <v>46234</v>
      </c>
      <c r="B25" s="4" t="s">
        <v>36</v>
      </c>
      <c r="C25" s="4" t="s">
        <v>46</v>
      </c>
      <c r="D25" s="7">
        <v>298475</v>
      </c>
    </row>
    <row r="26" spans="1:4" x14ac:dyDescent="0.25">
      <c r="A26" s="6">
        <v>46237</v>
      </c>
      <c r="B26" s="4" t="s">
        <v>32</v>
      </c>
      <c r="C26" s="4" t="s">
        <v>47</v>
      </c>
      <c r="D26" s="7">
        <v>314323</v>
      </c>
    </row>
    <row r="27" spans="1:4" x14ac:dyDescent="0.25">
      <c r="A27" s="6">
        <v>46240</v>
      </c>
      <c r="B27" s="4" t="s">
        <v>34</v>
      </c>
      <c r="C27" s="4" t="s">
        <v>39</v>
      </c>
      <c r="D27" s="7">
        <v>308736</v>
      </c>
    </row>
    <row r="28" spans="1:4" x14ac:dyDescent="0.25">
      <c r="A28" s="6">
        <v>46243</v>
      </c>
      <c r="B28" s="4" t="s">
        <v>36</v>
      </c>
      <c r="C28" s="4" t="s">
        <v>46</v>
      </c>
      <c r="D28" s="7">
        <v>69030</v>
      </c>
    </row>
    <row r="29" spans="1:4" x14ac:dyDescent="0.25">
      <c r="A29" s="6">
        <v>46246</v>
      </c>
      <c r="B29" s="4" t="s">
        <v>32</v>
      </c>
      <c r="C29" s="4" t="s">
        <v>38</v>
      </c>
      <c r="D29" s="7">
        <v>314475</v>
      </c>
    </row>
    <row r="30" spans="1:4" x14ac:dyDescent="0.25">
      <c r="A30" s="6">
        <v>46249</v>
      </c>
      <c r="B30" s="4" t="s">
        <v>34</v>
      </c>
      <c r="C30" s="4" t="s">
        <v>44</v>
      </c>
      <c r="D30" s="7">
        <v>210243</v>
      </c>
    </row>
    <row r="31" spans="1:4" x14ac:dyDescent="0.25">
      <c r="A31" s="6">
        <v>46252</v>
      </c>
      <c r="B31" s="4" t="s">
        <v>36</v>
      </c>
      <c r="C31" s="4" t="s">
        <v>37</v>
      </c>
      <c r="D31" s="7">
        <v>302175</v>
      </c>
    </row>
    <row r="32" spans="1:4" x14ac:dyDescent="0.25">
      <c r="A32" s="6">
        <v>46255</v>
      </c>
      <c r="B32" s="4" t="s">
        <v>32</v>
      </c>
      <c r="C32" s="4" t="s">
        <v>47</v>
      </c>
      <c r="D32" s="7">
        <v>310891</v>
      </c>
    </row>
    <row r="33" spans="1:4" x14ac:dyDescent="0.25">
      <c r="A33" s="6">
        <v>46258</v>
      </c>
      <c r="B33" s="4" t="s">
        <v>34</v>
      </c>
      <c r="C33" s="4" t="s">
        <v>41</v>
      </c>
      <c r="D33" s="7">
        <v>339539</v>
      </c>
    </row>
    <row r="34" spans="1:4" x14ac:dyDescent="0.25">
      <c r="A34" s="6">
        <v>46261</v>
      </c>
      <c r="B34" s="4" t="s">
        <v>36</v>
      </c>
      <c r="C34" s="4" t="s">
        <v>46</v>
      </c>
      <c r="D34" s="7">
        <v>275264</v>
      </c>
    </row>
    <row r="35" spans="1:4" x14ac:dyDescent="0.25">
      <c r="A35" s="5" t="s">
        <v>48</v>
      </c>
      <c r="B35" s="8">
        <f>SUM(D5:D34)</f>
        <v>6184660</v>
      </c>
    </row>
    <row r="36" spans="1:4" x14ac:dyDescent="0.25">
      <c r="A36" s="5" t="s">
        <v>49</v>
      </c>
      <c r="B36" s="8">
        <f>AVERAGE(D5:D34)</f>
        <v>206155.33333333334</v>
      </c>
    </row>
    <row r="37" spans="1:4" x14ac:dyDescent="0.25">
      <c r="A37" s="5" t="s">
        <v>50</v>
      </c>
      <c r="B37" s="8">
        <f>MAX(D5:D34)</f>
        <v>448508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tabSelected="1" zoomScaleNormal="100" workbookViewId="0">
      <selection activeCell="F5" sqref="F5:F16"/>
    </sheetView>
  </sheetViews>
  <sheetFormatPr baseColWidth="10" defaultColWidth="8.7109375" defaultRowHeight="15" x14ac:dyDescent="0.25"/>
  <cols>
    <col min="1" max="2" width="12" customWidth="1"/>
    <col min="3" max="3" width="16" customWidth="1"/>
    <col min="4" max="4" width="22" customWidth="1"/>
    <col min="5" max="5" width="18" customWidth="1"/>
    <col min="6" max="6" width="16" customWidth="1"/>
  </cols>
  <sheetData>
    <row r="1" spans="1:6" ht="18" x14ac:dyDescent="0.25">
      <c r="A1" s="1" t="s">
        <v>52</v>
      </c>
    </row>
    <row r="2" spans="1:6" x14ac:dyDescent="0.25">
      <c r="A2" s="2" t="s">
        <v>53</v>
      </c>
    </row>
    <row r="4" spans="1:6" x14ac:dyDescent="0.25">
      <c r="A4" s="3" t="s">
        <v>51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</row>
    <row r="5" spans="1:6" x14ac:dyDescent="0.25">
      <c r="A5" s="4" t="s">
        <v>59</v>
      </c>
      <c r="B5" s="4" t="s">
        <v>60</v>
      </c>
      <c r="C5" s="6">
        <v>42347</v>
      </c>
      <c r="D5" s="9" t="str">
        <f>_xlfn.CONCAT(A5,B5)</f>
        <v>ValentinaRíos</v>
      </c>
      <c r="E5" s="9">
        <f ca="1">DATEDIF(C5,TODAY(), "y")</f>
        <v>10</v>
      </c>
      <c r="F5" s="9" t="str">
        <f>TEXT(C5,"mmmm")</f>
        <v>diciembre</v>
      </c>
    </row>
    <row r="6" spans="1:6" x14ac:dyDescent="0.25">
      <c r="A6" s="4" t="s">
        <v>61</v>
      </c>
      <c r="B6" s="4" t="s">
        <v>62</v>
      </c>
      <c r="C6" s="6">
        <v>45521</v>
      </c>
      <c r="D6" s="9" t="str">
        <f t="shared" ref="D6:D16" si="0">_xlfn.CONCAT(A6,B6)</f>
        <v>SantiagoSuárez</v>
      </c>
      <c r="E6" s="9">
        <f t="shared" ref="E6:E16" ca="1" si="1">DATEDIF(C6,TODAY(), "y")</f>
        <v>2</v>
      </c>
      <c r="F6" s="9" t="str">
        <f t="shared" ref="F6:F16" si="2">TEXT(C6,"mmmm")</f>
        <v>agosto</v>
      </c>
    </row>
    <row r="7" spans="1:6" x14ac:dyDescent="0.25">
      <c r="A7" s="4" t="s">
        <v>63</v>
      </c>
      <c r="B7" s="4" t="s">
        <v>64</v>
      </c>
      <c r="C7" s="6">
        <v>45318</v>
      </c>
      <c r="D7" s="9" t="str">
        <f t="shared" si="0"/>
        <v>IsabellaMolina</v>
      </c>
      <c r="E7" s="9">
        <f t="shared" ca="1" si="1"/>
        <v>2</v>
      </c>
      <c r="F7" s="9" t="str">
        <f t="shared" si="2"/>
        <v>enero</v>
      </c>
    </row>
    <row r="8" spans="1:6" x14ac:dyDescent="0.25">
      <c r="A8" s="4" t="s">
        <v>65</v>
      </c>
      <c r="B8" s="4" t="s">
        <v>66</v>
      </c>
      <c r="C8" s="6">
        <v>43873</v>
      </c>
      <c r="D8" s="9" t="str">
        <f t="shared" si="0"/>
        <v>MateoCárdenas</v>
      </c>
      <c r="E8" s="9">
        <f t="shared" ca="1" si="1"/>
        <v>6</v>
      </c>
      <c r="F8" s="9" t="str">
        <f t="shared" si="2"/>
        <v>febrero</v>
      </c>
    </row>
    <row r="9" spans="1:6" x14ac:dyDescent="0.25">
      <c r="A9" s="4" t="s">
        <v>67</v>
      </c>
      <c r="B9" s="4" t="s">
        <v>68</v>
      </c>
      <c r="C9" s="6">
        <v>42201</v>
      </c>
      <c r="D9" s="9" t="str">
        <f t="shared" si="0"/>
        <v>CamilaBeltrán</v>
      </c>
      <c r="E9" s="9">
        <f t="shared" ca="1" si="1"/>
        <v>11</v>
      </c>
      <c r="F9" s="9" t="str">
        <f t="shared" si="2"/>
        <v>julio</v>
      </c>
    </row>
    <row r="10" spans="1:6" x14ac:dyDescent="0.25">
      <c r="A10" s="4" t="s">
        <v>69</v>
      </c>
      <c r="B10" s="4" t="s">
        <v>70</v>
      </c>
      <c r="C10" s="6">
        <v>45552</v>
      </c>
      <c r="D10" s="9" t="str">
        <f t="shared" si="0"/>
        <v>JuanPardo</v>
      </c>
      <c r="E10" s="9">
        <f t="shared" ca="1" si="1"/>
        <v>2</v>
      </c>
      <c r="F10" s="9" t="str">
        <f t="shared" si="2"/>
        <v>septiembre</v>
      </c>
    </row>
    <row r="11" spans="1:6" x14ac:dyDescent="0.25">
      <c r="A11" s="4" t="s">
        <v>71</v>
      </c>
      <c r="B11" s="4" t="s">
        <v>72</v>
      </c>
      <c r="C11" s="6">
        <v>45587</v>
      </c>
      <c r="D11" s="9" t="str">
        <f t="shared" si="0"/>
        <v>DanielaNúñez</v>
      </c>
      <c r="E11" s="9">
        <f t="shared" ca="1" si="1"/>
        <v>1</v>
      </c>
      <c r="F11" s="9" t="str">
        <f t="shared" si="2"/>
        <v>octubre</v>
      </c>
    </row>
    <row r="12" spans="1:6" x14ac:dyDescent="0.25">
      <c r="A12" s="4" t="s">
        <v>73</v>
      </c>
      <c r="B12" s="4" t="s">
        <v>74</v>
      </c>
      <c r="C12" s="6">
        <v>43548</v>
      </c>
      <c r="D12" s="9" t="str">
        <f t="shared" si="0"/>
        <v>NicolásVargas</v>
      </c>
      <c r="E12" s="9">
        <f t="shared" ca="1" si="1"/>
        <v>7</v>
      </c>
      <c r="F12" s="9" t="str">
        <f t="shared" si="2"/>
        <v>marzo</v>
      </c>
    </row>
    <row r="13" spans="1:6" x14ac:dyDescent="0.25">
      <c r="A13" s="4" t="s">
        <v>75</v>
      </c>
      <c r="B13" s="4" t="s">
        <v>76</v>
      </c>
      <c r="C13" s="6">
        <v>42434</v>
      </c>
      <c r="D13" s="9" t="str">
        <f t="shared" si="0"/>
        <v>GabrielaCortés</v>
      </c>
      <c r="E13" s="9">
        <f t="shared" ca="1" si="1"/>
        <v>10</v>
      </c>
      <c r="F13" s="9" t="str">
        <f t="shared" si="2"/>
        <v>marzo</v>
      </c>
    </row>
    <row r="14" spans="1:6" x14ac:dyDescent="0.25">
      <c r="A14" s="4" t="s">
        <v>77</v>
      </c>
      <c r="B14" s="4" t="s">
        <v>78</v>
      </c>
      <c r="C14" s="6">
        <v>43753</v>
      </c>
      <c r="D14" s="9" t="str">
        <f t="shared" si="0"/>
        <v>JuliánZapata</v>
      </c>
      <c r="E14" s="9">
        <f t="shared" ca="1" si="1"/>
        <v>6</v>
      </c>
      <c r="F14" s="9" t="str">
        <f t="shared" si="2"/>
        <v>octubre</v>
      </c>
    </row>
    <row r="15" spans="1:6" x14ac:dyDescent="0.25">
      <c r="A15" s="4" t="s">
        <v>79</v>
      </c>
      <c r="B15" s="4" t="s">
        <v>80</v>
      </c>
      <c r="C15" s="6">
        <v>42924</v>
      </c>
      <c r="D15" s="9" t="str">
        <f t="shared" si="0"/>
        <v>MarianaHerrera</v>
      </c>
      <c r="E15" s="9">
        <f t="shared" ca="1" si="1"/>
        <v>9</v>
      </c>
      <c r="F15" s="9" t="str">
        <f t="shared" si="2"/>
        <v>julio</v>
      </c>
    </row>
    <row r="16" spans="1:6" x14ac:dyDescent="0.25">
      <c r="A16" s="4" t="s">
        <v>81</v>
      </c>
      <c r="B16" s="4" t="s">
        <v>82</v>
      </c>
      <c r="C16" s="6">
        <v>43242</v>
      </c>
      <c r="D16" s="9" t="str">
        <f t="shared" si="0"/>
        <v>EstebanRojas</v>
      </c>
      <c r="E16" s="9">
        <f t="shared" ca="1" si="1"/>
        <v>8</v>
      </c>
      <c r="F16" s="9" t="str">
        <f t="shared" si="2"/>
        <v>mayo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Indice</vt:lpstr>
      <vt:lpstr>1_Gastos_Basico</vt:lpstr>
      <vt:lpstr>5_Fechas_Texto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ESTUDIANTES</cp:lastModifiedBy>
  <cp:revision>0</cp:revision>
  <dcterms:created xsi:type="dcterms:W3CDTF">2026-09-19T13:04:39Z</dcterms:created>
  <dcterms:modified xsi:type="dcterms:W3CDTF">2026-09-19T16:17:19Z</dcterms:modified>
  <dc:language>en-US</dc:language>
</cp:coreProperties>
</file>